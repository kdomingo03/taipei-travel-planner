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dpor\Downloads\"/>
    </mc:Choice>
  </mc:AlternateContent>
  <xr:revisionPtr revIDLastSave="0" documentId="13_ncr:1_{AB44754B-BFCF-47AC-ADD8-6AA3EB35A026}" xr6:coauthVersionLast="47" xr6:coauthVersionMax="47" xr10:uidLastSave="{00000000-0000-0000-0000-000000000000}"/>
  <bookViews>
    <workbookView xWindow="-120" yWindow="-120" windowWidth="20730" windowHeight="11160" tabRatio="750" activeTab="3" xr2:uid="{00000000-000D-0000-FFFF-FFFF00000000}"/>
  </bookViews>
  <sheets>
    <sheet name="Dashboard" sheetId="1" r:id="rId1"/>
    <sheet name="Master Itinerary" sheetId="2" r:id="rId2"/>
    <sheet name="Travel Documents" sheetId="3" r:id="rId3"/>
    <sheet name="Budget Tracker" sheetId="4" r:id="rId4"/>
    <sheet name="Bookings" sheetId="5" r:id="rId5"/>
    <sheet name="Packing &amp; Pre-Trip" sheetId="6" r:id="rId6"/>
    <sheet name="Food &amp; Places" sheetId="7" r:id="rId7"/>
  </sheets>
  <definedNames>
    <definedName name="_xlnm._FilterDatabase" localSheetId="4" hidden="1">Bookings!$A$4:$O$4</definedName>
    <definedName name="_xlnm._FilterDatabase" localSheetId="3" hidden="1">'Budget Tracker'!$A$7:$K$21</definedName>
    <definedName name="_xlnm._FilterDatabase" localSheetId="6" hidden="1">'Food &amp; Places'!$A$18:$K$31</definedName>
    <definedName name="_xlnm._FilterDatabase" localSheetId="1" hidden="1">'Master Itinerary'!$A$4:$Q$38</definedName>
    <definedName name="_xlnm._FilterDatabase" localSheetId="5" hidden="1">'Packing &amp; Pre-Trip'!$A$5:$G$39</definedName>
    <definedName name="_xlnm._FilterDatabase" localSheetId="2" hidden="1">'Travel Documents'!$A$4:$L$18</definedName>
    <definedName name="FXRate">'Budget Tracker'!$B$5</definedName>
    <definedName name="TripBudget">'Budget Tracker'!$D$5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2" i="6" l="1"/>
  <c r="B70" i="6"/>
  <c r="B69" i="6"/>
  <c r="B68" i="6"/>
  <c r="B67" i="6"/>
  <c r="B66" i="6"/>
  <c r="B65" i="6"/>
  <c r="B63" i="6"/>
  <c r="B62" i="6"/>
  <c r="B61" i="6"/>
  <c r="B60" i="6"/>
  <c r="B59" i="6"/>
  <c r="B58" i="6"/>
  <c r="B56" i="6"/>
  <c r="B55" i="6"/>
  <c r="B54" i="6"/>
  <c r="B53" i="6"/>
  <c r="B52" i="6"/>
  <c r="B50" i="6"/>
  <c r="B49" i="6"/>
  <c r="B48" i="6"/>
  <c r="B47" i="6"/>
  <c r="B46" i="6"/>
  <c r="B45" i="6"/>
  <c r="D40" i="6"/>
  <c r="I14" i="5"/>
  <c r="C14" i="5"/>
  <c r="I13" i="5"/>
  <c r="C13" i="5"/>
  <c r="I12" i="5"/>
  <c r="C12" i="5"/>
  <c r="I11" i="5"/>
  <c r="C11" i="5"/>
  <c r="L10" i="5"/>
  <c r="K10" i="5"/>
  <c r="I10" i="5"/>
  <c r="D28" i="1" s="1"/>
  <c r="C10" i="5"/>
  <c r="I9" i="5"/>
  <c r="C9" i="5"/>
  <c r="I8" i="5"/>
  <c r="D29" i="1" s="1"/>
  <c r="C8" i="5"/>
  <c r="O7" i="5"/>
  <c r="L7" i="5"/>
  <c r="K7" i="5"/>
  <c r="I7" i="5"/>
  <c r="C7" i="5"/>
  <c r="K6" i="5"/>
  <c r="I6" i="5"/>
  <c r="D26" i="1" s="1"/>
  <c r="C6" i="5"/>
  <c r="K5" i="5"/>
  <c r="I5" i="5"/>
  <c r="C5" i="5"/>
  <c r="C26" i="1" s="1"/>
  <c r="B48" i="4"/>
  <c r="B47" i="4"/>
  <c r="C46" i="4"/>
  <c r="C45" i="4"/>
  <c r="B45" i="4"/>
  <c r="B44" i="4"/>
  <c r="C42" i="4"/>
  <c r="G41" i="4"/>
  <c r="H41" i="4" s="1"/>
  <c r="G40" i="4"/>
  <c r="H40" i="4" s="1"/>
  <c r="G39" i="4"/>
  <c r="C39" i="4"/>
  <c r="B39" i="4"/>
  <c r="G38" i="4"/>
  <c r="C38" i="4"/>
  <c r="B38" i="4"/>
  <c r="G37" i="4"/>
  <c r="H37" i="4" s="1"/>
  <c r="G36" i="4"/>
  <c r="H36" i="4" s="1"/>
  <c r="B36" i="4"/>
  <c r="D25" i="4"/>
  <c r="D24" i="4"/>
  <c r="G21" i="4"/>
  <c r="C48" i="4" s="1"/>
  <c r="F21" i="4"/>
  <c r="A21" i="4"/>
  <c r="G20" i="4"/>
  <c r="C47" i="4" s="1"/>
  <c r="A20" i="4"/>
  <c r="G19" i="4"/>
  <c r="F19" i="4"/>
  <c r="B46" i="4" s="1"/>
  <c r="A19" i="4"/>
  <c r="G18" i="4"/>
  <c r="F18" i="4"/>
  <c r="A18" i="4"/>
  <c r="G17" i="4"/>
  <c r="C44" i="4" s="1"/>
  <c r="F17" i="4"/>
  <c r="A17" i="4"/>
  <c r="G16" i="4"/>
  <c r="C43" i="4" s="1"/>
  <c r="F16" i="4"/>
  <c r="B43" i="4" s="1"/>
  <c r="A16" i="4"/>
  <c r="G15" i="4"/>
  <c r="F15" i="4"/>
  <c r="B42" i="4" s="1"/>
  <c r="A15" i="4"/>
  <c r="G14" i="4"/>
  <c r="F14" i="4"/>
  <c r="A14" i="4"/>
  <c r="G13" i="4"/>
  <c r="C41" i="4" s="1"/>
  <c r="F13" i="4"/>
  <c r="B41" i="4" s="1"/>
  <c r="A13" i="4"/>
  <c r="G12" i="4"/>
  <c r="C40" i="4" s="1"/>
  <c r="F12" i="4"/>
  <c r="B40" i="4" s="1"/>
  <c r="A12" i="4"/>
  <c r="G11" i="4"/>
  <c r="F11" i="4"/>
  <c r="A11" i="4"/>
  <c r="G10" i="4"/>
  <c r="A10" i="4"/>
  <c r="G9" i="4"/>
  <c r="C37" i="4" s="1"/>
  <c r="F9" i="4"/>
  <c r="B37" i="4" s="1"/>
  <c r="A9" i="4"/>
  <c r="G8" i="4"/>
  <c r="C36" i="4" s="1"/>
  <c r="A8" i="4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Q38" i="2"/>
  <c r="L38" i="2"/>
  <c r="B38" i="2"/>
  <c r="Q37" i="2"/>
  <c r="L37" i="2"/>
  <c r="B37" i="2"/>
  <c r="Q36" i="2"/>
  <c r="L36" i="2"/>
  <c r="B36" i="2"/>
  <c r="Q35" i="2"/>
  <c r="L35" i="2"/>
  <c r="B35" i="2"/>
  <c r="Q34" i="2"/>
  <c r="L34" i="2"/>
  <c r="B34" i="2"/>
  <c r="Q33" i="2"/>
  <c r="L33" i="2"/>
  <c r="B33" i="2"/>
  <c r="Q32" i="2"/>
  <c r="L32" i="2"/>
  <c r="B32" i="2"/>
  <c r="Q31" i="2"/>
  <c r="L31" i="2"/>
  <c r="B31" i="2"/>
  <c r="Q30" i="2"/>
  <c r="L30" i="2"/>
  <c r="B30" i="2"/>
  <c r="Q29" i="2"/>
  <c r="L29" i="2"/>
  <c r="B29" i="2"/>
  <c r="Q28" i="2"/>
  <c r="L28" i="2"/>
  <c r="B28" i="2"/>
  <c r="Q27" i="2"/>
  <c r="L27" i="2"/>
  <c r="B27" i="2"/>
  <c r="Q26" i="2"/>
  <c r="L26" i="2"/>
  <c r="B26" i="2"/>
  <c r="Q25" i="2"/>
  <c r="L25" i="2"/>
  <c r="B25" i="2"/>
  <c r="Q24" i="2"/>
  <c r="L24" i="2"/>
  <c r="B24" i="2"/>
  <c r="Q23" i="2"/>
  <c r="L23" i="2"/>
  <c r="B23" i="2"/>
  <c r="Q22" i="2"/>
  <c r="L22" i="2"/>
  <c r="B22" i="2"/>
  <c r="Q21" i="2"/>
  <c r="L21" i="2"/>
  <c r="B21" i="2"/>
  <c r="Q20" i="2"/>
  <c r="L20" i="2"/>
  <c r="B20" i="2"/>
  <c r="Q19" i="2"/>
  <c r="L19" i="2"/>
  <c r="B19" i="2"/>
  <c r="Q18" i="2"/>
  <c r="L18" i="2"/>
  <c r="B18" i="2"/>
  <c r="Q17" i="2"/>
  <c r="L17" i="2"/>
  <c r="B17" i="2"/>
  <c r="Q16" i="2"/>
  <c r="L16" i="2"/>
  <c r="B16" i="2"/>
  <c r="Q15" i="2"/>
  <c r="L15" i="2"/>
  <c r="B15" i="2"/>
  <c r="Q14" i="2"/>
  <c r="L14" i="2"/>
  <c r="B14" i="2"/>
  <c r="Q13" i="2"/>
  <c r="L13" i="2"/>
  <c r="B13" i="2"/>
  <c r="Q12" i="2"/>
  <c r="L12" i="2"/>
  <c r="B12" i="2"/>
  <c r="Q11" i="2"/>
  <c r="L11" i="2"/>
  <c r="B11" i="2"/>
  <c r="Q10" i="2"/>
  <c r="L10" i="2"/>
  <c r="B10" i="2"/>
  <c r="Q9" i="2"/>
  <c r="L9" i="2"/>
  <c r="B9" i="2"/>
  <c r="Q8" i="2"/>
  <c r="L8" i="2"/>
  <c r="B8" i="2"/>
  <c r="Q7" i="2"/>
  <c r="L7" i="2"/>
  <c r="B7" i="2"/>
  <c r="Q6" i="2"/>
  <c r="L6" i="2"/>
  <c r="B6" i="2"/>
  <c r="H39" i="4" s="1"/>
  <c r="Q5" i="2"/>
  <c r="L5" i="2"/>
  <c r="B5" i="2"/>
  <c r="H38" i="4" s="1"/>
  <c r="F29" i="1"/>
  <c r="E29" i="1"/>
  <c r="C29" i="1"/>
  <c r="B29" i="1"/>
  <c r="F28" i="1"/>
  <c r="E28" i="1"/>
  <c r="C28" i="1"/>
  <c r="B28" i="1"/>
  <c r="F27" i="1"/>
  <c r="E27" i="1"/>
  <c r="D27" i="1"/>
  <c r="C27" i="1"/>
  <c r="B27" i="1"/>
  <c r="F26" i="1"/>
  <c r="E26" i="1"/>
  <c r="B26" i="1"/>
  <c r="C21" i="1"/>
  <c r="C20" i="1"/>
  <c r="C19" i="1"/>
  <c r="C18" i="1"/>
  <c r="C22" i="1" s="1"/>
  <c r="C17" i="1"/>
  <c r="C15" i="1"/>
  <c r="C11" i="1"/>
  <c r="G7" i="1"/>
  <c r="A2" i="1"/>
  <c r="D28" i="4" l="1"/>
  <c r="G10" i="1" s="1"/>
  <c r="D26" i="4"/>
  <c r="D46" i="4" s="1"/>
  <c r="D27" i="4"/>
  <c r="D39" i="4" l="1"/>
  <c r="D40" i="4"/>
  <c r="D48" i="4"/>
  <c r="D37" i="4"/>
  <c r="D45" i="4"/>
  <c r="D44" i="4"/>
  <c r="D32" i="4"/>
  <c r="G12" i="1" s="1"/>
  <c r="D30" i="4"/>
  <c r="D38" i="4"/>
  <c r="D47" i="4"/>
  <c r="G8" i="1"/>
  <c r="D41" i="4"/>
  <c r="D31" i="4"/>
  <c r="D29" i="4"/>
  <c r="G11" i="1" s="1"/>
  <c r="G9" i="1"/>
  <c r="D43" i="4"/>
  <c r="D36" i="4"/>
  <c r="D42" i="4"/>
</calcChain>
</file>

<file path=xl/sharedStrings.xml><?xml version="1.0" encoding="utf-8"?>
<sst xmlns="http://schemas.openxmlformats.org/spreadsheetml/2006/main" count="1372" uniqueCount="723">
  <si>
    <t>🇹🇼 TAIPEI, TAIWAN TRAVEL PLANNER</t>
  </si>
  <si>
    <t>Blue text = editable input cell. Update Trip Summary here – dates, travelers and budget flow through the whole workbook automatically.</t>
  </si>
  <si>
    <t>TRIP SUMMARY</t>
  </si>
  <si>
    <t>BUDGET SUMMARY</t>
  </si>
  <si>
    <t>Destination</t>
  </si>
  <si>
    <t>Taipei, Taiwan</t>
  </si>
  <si>
    <t>Total Trip Budget (PHP)</t>
  </si>
  <si>
    <t>Departure Airport</t>
  </si>
  <si>
    <t>Ninoy Aquino Intl Airport (MNL)</t>
  </si>
  <si>
    <t>Estimated Total Cost (PHP)</t>
  </si>
  <si>
    <t>Departure Date</t>
  </si>
  <si>
    <t>Actual Spending (PHP)</t>
  </si>
  <si>
    <t>Return Date</t>
  </si>
  <si>
    <t>Amount Already Paid (PHP)</t>
  </si>
  <si>
    <t>Nights / Days</t>
  </si>
  <si>
    <t>Remaining Budget (PHP)</t>
  </si>
  <si>
    <t>Number of Travelers</t>
  </si>
  <si>
    <t>Cost per Traveler (PHP)</t>
  </si>
  <si>
    <t>Hotel / Area</t>
  </si>
  <si>
    <t>Hotel near Zhongshan MRT, Zhongshan District</t>
  </si>
  <si>
    <t>Travel Style</t>
  </si>
  <si>
    <t>Mid-range</t>
  </si>
  <si>
    <t>TWD → PHP Rate</t>
  </si>
  <si>
    <t>PREPARATION PROGRESS</t>
  </si>
  <si>
    <t>Travel Documents</t>
  </si>
  <si>
    <t>Bookings</t>
  </si>
  <si>
    <t>Payments</t>
  </si>
  <si>
    <t>Packing</t>
  </si>
  <si>
    <t>Pre-Trip Tasks</t>
  </si>
  <si>
    <t>Overall Readiness</t>
  </si>
  <si>
    <t>IMPORTANT BOOKINGS</t>
  </si>
  <si>
    <t>Booking</t>
  </si>
  <si>
    <t>Provider/Detail</t>
  </si>
  <si>
    <t>Date</t>
  </si>
  <si>
    <t>Cost (PHP)</t>
  </si>
  <si>
    <t>Status</t>
  </si>
  <si>
    <t>Notes</t>
  </si>
  <si>
    <t>Flight (Round-trip)</t>
  </si>
  <si>
    <t>Hotel</t>
  </si>
  <si>
    <t>Major Tour/Activity</t>
  </si>
  <si>
    <t>Airport Transfer</t>
  </si>
  <si>
    <t>MASTER ITINERARY – 6 DAYS / 5 NIGHTS IN TAIPEI</t>
  </si>
  <si>
    <t>Geographically grouped by day. Backup activities noted for weather-dependent stops. Edit Day/Date/costs as your plans firm up.</t>
  </si>
  <si>
    <t>Day</t>
  </si>
  <si>
    <t>Time</t>
  </si>
  <si>
    <t>Activity</t>
  </si>
  <si>
    <t>Attraction</t>
  </si>
  <si>
    <t>Area/District</t>
  </si>
  <si>
    <t>Address</t>
  </si>
  <si>
    <t>MRT Station</t>
  </si>
  <si>
    <t>Transportation</t>
  </si>
  <si>
    <t>Travel Time</t>
  </si>
  <si>
    <t>Est. Cost (TWD)</t>
  </si>
  <si>
    <t>Est. Cost (PHP)</t>
  </si>
  <si>
    <t>Meal</t>
  </si>
  <si>
    <t>Reservation?</t>
  </si>
  <si>
    <t>Map/Search Link</t>
  </si>
  <si>
    <t>18:30</t>
  </si>
  <si>
    <t>Head to airport</t>
  </si>
  <si>
    <t>NAIA Terminal 3, Manila</t>
  </si>
  <si>
    <t>Manila</t>
  </si>
  <si>
    <t>NAIA Terminal 3, Pasay City</t>
  </si>
  <si>
    <t>N/A</t>
  </si>
  <si>
    <t>Grab/car/taxi</t>
  </si>
  <si>
    <t>–</t>
  </si>
  <si>
    <t>None</t>
  </si>
  <si>
    <t>Not Required</t>
  </si>
  <si>
    <t>Not Started</t>
  </si>
  <si>
    <t>Cebu Pacific international flights depart from NAIA Terminal 3; allow at least 3 hours before an 11:35 PM departure</t>
  </si>
  <si>
    <t>20:35</t>
  </si>
  <si>
    <t>Check-in &amp; immigration</t>
  </si>
  <si>
    <t>Dinner</t>
  </si>
  <si>
    <t>Online check-in in advance if possible; grab dinner airside – confirm baggage allowance with Cebu Pacific before packing</t>
  </si>
  <si>
    <t>23:35</t>
  </si>
  <si>
    <t>Depart Manila</t>
  </si>
  <si>
    <t>Cebu Pacific MNL → TPE</t>
  </si>
  <si>
    <t>Airport</t>
  </si>
  <si>
    <t>Flight</t>
  </si>
  <si>
    <t>2h25m</t>
  </si>
  <si>
    <t>Confirmed</t>
  </si>
  <si>
    <t>Cebu Pacific, Manila (MNL) 11:35 PM → Taipei Taoyuan (TPE) 2:00 AM +1 day. Booking ref: Kimberly Domingo JPU86R · Kriza Blanca Domingo SKKC5G</t>
  </si>
  <si>
    <t>02:00</t>
  </si>
  <si>
    <t>Arrival &amp; immigration</t>
  </si>
  <si>
    <t>Taoyuan International Airport (TPE)</t>
  </si>
  <si>
    <t>Taoyuan Intl Airport, Taoyuan</t>
  </si>
  <si>
    <t>Airport (not MRT)</t>
  </si>
  <si>
    <t>Flight arrival</t>
  </si>
  <si>
    <t>Complete the Taiwan Arrival Card (TWAC) online within 3 days before landing – mandatory since Oct 2025, no paper form accepted</t>
  </si>
  <si>
    <t>03:30</t>
  </si>
  <si>
    <t>Airport transfer to hotel</t>
  </si>
  <si>
    <t>Taoyuan Airport MRT → Taipei Main Station → Zhongshan</t>
  </si>
  <si>
    <t>Airport → Zhongshan</t>
  </si>
  <si>
    <t>Zhongshan Station</t>
  </si>
  <si>
    <t>Airport MRT + Red Line</t>
  </si>
  <si>
    <t>45–60 min</t>
  </si>
  <si>
    <t>First airport MRT departs ~6 AM – take a taxi/NT$1,000-1,200 if arriving this early, or rest airside until first train</t>
  </si>
  <si>
    <t>07:00</t>
  </si>
  <si>
    <t>Rest / early check-in request</t>
  </si>
  <si>
    <t>Hotel near Zhongshan MRT</t>
  </si>
  <si>
    <t>Zhongshan</t>
  </si>
  <si>
    <t>Zhongshan District, Taipei</t>
  </si>
  <si>
    <t>Walk</t>
  </si>
  <si>
    <t>10 min</t>
  </si>
  <si>
    <t>Breakfast</t>
  </si>
  <si>
    <t>Store luggage at front desk if the room isn't ready; standard check-in is usually 15:00 – nap at a 24-hr cafe or hotel lobby if needed</t>
  </si>
  <si>
    <t>11:00</t>
  </si>
  <si>
    <t>Temple visit</t>
  </si>
  <si>
    <t>Longshan Temple</t>
  </si>
  <si>
    <t>Wanhua</t>
  </si>
  <si>
    <t>No. 211 Guangzhou St, Wanhua District</t>
  </si>
  <si>
    <t>Longshan Temple Station</t>
  </si>
  <si>
    <t>MRT (Red Line)</t>
  </si>
  <si>
    <t>20 min</t>
  </si>
  <si>
    <t>Free entry (donations optional); open 6:00–22:00; dress modestly</t>
  </si>
  <si>
    <t>12:30</t>
  </si>
  <si>
    <t>Lunch</t>
  </si>
  <si>
    <t>Local eatery near Wanhua</t>
  </si>
  <si>
    <t>Wanhua District</t>
  </si>
  <si>
    <t>5 min</t>
  </si>
  <si>
    <t>Beef noodle soup is a good pick here</t>
  </si>
  <si>
    <t>14:00</t>
  </si>
  <si>
    <t>Memorial hall visit</t>
  </si>
  <si>
    <t>Chiang Kai-shek Memorial Hall</t>
  </si>
  <si>
    <t>Zhongzheng</t>
  </si>
  <si>
    <t>No. 21 Zhongshan S. Rd, Zhongzheng District</t>
  </si>
  <si>
    <t>CKS Memorial Hall Station</t>
  </si>
  <si>
    <t>15 min</t>
  </si>
  <si>
    <t>Free entry; open 9:00–18:00; hourly changing-of-the-guard ceremony</t>
  </si>
  <si>
    <t>15:30</t>
  </si>
  <si>
    <t>Hotel check-in</t>
  </si>
  <si>
    <t>Required</t>
  </si>
  <si>
    <t>Proper check-in and a chance to freshen up after the overnight flight</t>
  </si>
  <si>
    <t>18:00</t>
  </si>
  <si>
    <t>Dinner &amp; evening stroll</t>
  </si>
  <si>
    <t>Ximending Pedestrian Area</t>
  </si>
  <si>
    <t>Ximending, Wanhua District</t>
  </si>
  <si>
    <t>Ximen Station</t>
  </si>
  <si>
    <t>MRT (Red → Blue Line)</t>
  </si>
  <si>
    <t>Try scallion pancake and bubble tea; keep it low-key – an early night helps after the redeye. Rainy backup: Wonderful/Ximen indoor shopping arcades</t>
  </si>
  <si>
    <t>08:00</t>
  </si>
  <si>
    <t>Hotel area breakfast</t>
  </si>
  <si>
    <t>Zhongshan District</t>
  </si>
  <si>
    <t>Light breakfast – big day ahead</t>
  </si>
  <si>
    <t>09:30</t>
  </si>
  <si>
    <t>Observation deck</t>
  </si>
  <si>
    <t>Taipei 101 Observatory</t>
  </si>
  <si>
    <t>Xinyi</t>
  </si>
  <si>
    <t>No. 7, Sec 5, Xinyi Rd, Xinyi District</t>
  </si>
  <si>
    <t>Taipei 101/World Trade Center Station</t>
  </si>
  <si>
    <t>Recommended</t>
  </si>
  <si>
    <t>Book online in advance for a small discount and shorter queue; open 10:00–21:00</t>
  </si>
  <si>
    <t>12:00</t>
  </si>
  <si>
    <t>Taipei 101 Mall food options</t>
  </si>
  <si>
    <t>Taipei 101 Mall, Xinyi District</t>
  </si>
  <si>
    <t>Wide range of dining options, from food court to sit-down</t>
  </si>
  <si>
    <t>Free time / shopping</t>
  </si>
  <si>
    <t>Xinyi Shopping District</t>
  </si>
  <si>
    <t>Xinyi District</t>
  </si>
  <si>
    <t>Malls, flagship stores, department stores</t>
  </si>
  <si>
    <t>16:30</t>
  </si>
  <si>
    <t>Sunset hike</t>
  </si>
  <si>
    <t>Elephant Mountain (Xiangshan)</t>
  </si>
  <si>
    <t>Xiangshan Trailhead, Xinyi District</t>
  </si>
  <si>
    <t>Xiangshan Station</t>
  </si>
  <si>
    <t>MRT + walk</t>
  </si>
  <si>
    <t>Free; bring water and wear proper shoes; weather-dependent – rainy backup: Taipei 101 indoor observatory or Songshan Cultural Park</t>
  </si>
  <si>
    <t>19:00</t>
  </si>
  <si>
    <t>Raohe Street Night Market</t>
  </si>
  <si>
    <t>Songshan</t>
  </si>
  <si>
    <t>Raohe St, Songshan District</t>
  </si>
  <si>
    <t>Songshan Station</t>
  </si>
  <si>
    <t>MRT (Green Line)</t>
  </si>
  <si>
    <t>Famous for hu jiao bing (black pepper bun); enter from Ciyou Temple end</t>
  </si>
  <si>
    <t>Fuel up before a full day out</t>
  </si>
  <si>
    <t>09:00</t>
  </si>
  <si>
    <t>Museum visit</t>
  </si>
  <si>
    <t>National Palace Museum</t>
  </si>
  <si>
    <t>Shilin</t>
  </si>
  <si>
    <t>No. 221, Sec 2, Zhishan Rd, Shilin District</t>
  </si>
  <si>
    <t>Shilin Station + bus</t>
  </si>
  <si>
    <t>MRT + shuttle bus</t>
  </si>
  <si>
    <t>30 min</t>
  </si>
  <si>
    <t>Closed Mondays – confirm open days before booking; open Tue–Sun 9:00–17:00; pre-book tickets online</t>
  </si>
  <si>
    <t>Eatery near National Palace Museum</t>
  </si>
  <si>
    <t>Shilin District</t>
  </si>
  <si>
    <t>Shilin Station</t>
  </si>
  <si>
    <t>Silks Palace on-site, or casual options nearby</t>
  </si>
  <si>
    <t>Travel to Beitou</t>
  </si>
  <si>
    <t>Beitou District</t>
  </si>
  <si>
    <t>Beitou</t>
  </si>
  <si>
    <t>Beitou / Xinbeitou Station</t>
  </si>
  <si>
    <t>25 min</t>
  </si>
  <si>
    <t>Transfer at Beitou Station to the pink Xinbeitou branch line</t>
  </si>
  <si>
    <t>14:30</t>
  </si>
  <si>
    <t>Hot spring &amp; thermal valley</t>
  </si>
  <si>
    <t>Beitou Hot Spring / Thermal Valley</t>
  </si>
  <si>
    <t>Zhongshan Rd, Beitou District</t>
  </si>
  <si>
    <t>Xinbeitou Station</t>
  </si>
  <si>
    <t>Public or private spa options vary in price; weather-dependent for the outdoor Thermal Valley walk – rainy backup: Beitou Hot Spring Museum (indoor)</t>
  </si>
  <si>
    <t>Dinner &amp; night market</t>
  </si>
  <si>
    <t>Shilin Night Market</t>
  </si>
  <si>
    <t>Jihe Rd/Wenlin Rd, Shilin District</t>
  </si>
  <si>
    <t>Jiantan Station</t>
  </si>
  <si>
    <t>One of Taipei's largest night markets – try oyster omelet and fried chicken</t>
  </si>
  <si>
    <t>Breakfast &amp; pack up</t>
  </si>
  <si>
    <t>Hotel area breakfast; pack for the day</t>
  </si>
  <si>
    <t>Pack a day bag – you'll head straight to the airport tonight after this day trip</t>
  </si>
  <si>
    <t>07:30</t>
  </si>
  <si>
    <t>Hotel check-out</t>
  </si>
  <si>
    <t>Hotel check-out, store luggage</t>
  </si>
  <si>
    <t>Ask the front desk to hold luggage for the day since there's no second hotel night</t>
  </si>
  <si>
    <t>Day trip departure</t>
  </si>
  <si>
    <t>Depart for Jiufen &amp; Shifen</t>
  </si>
  <si>
    <t>Zhongshan → New Taipei City</t>
  </si>
  <si>
    <t>Tour pickup / Pingxi rail line</t>
  </si>
  <si>
    <t>1–1.5 hr</t>
  </si>
  <si>
    <t>Book the day tour (or DIY via TRA + Pingxi Line) in advance; mountain weather can change quickly – backup: reschedule tea-house time indoors</t>
  </si>
  <si>
    <t>Sky lantern &amp; waterfall</t>
  </si>
  <si>
    <t>Shifen Old Street &amp; Shifen Waterfall</t>
  </si>
  <si>
    <t>Shifen, New Taipei City</t>
  </si>
  <si>
    <t>Shifen Old Street, Pingxi District</t>
  </si>
  <si>
    <t>Shifen Station (Pingxi Line)</t>
  </si>
  <si>
    <t>Tour van / train</t>
  </si>
  <si>
    <t>Sky lantern release on the old railway tracks; mind the trains</t>
  </si>
  <si>
    <t>Shifen Old Street eatery</t>
  </si>
  <si>
    <t>Shifen</t>
  </si>
  <si>
    <t>Shifen Old Street</t>
  </si>
  <si>
    <t>Shifen Station</t>
  </si>
  <si>
    <t>Simple noodle and rice dishes along the tracks</t>
  </si>
  <si>
    <t>Old street &amp; tea house</t>
  </si>
  <si>
    <t>Jiufen Old Street</t>
  </si>
  <si>
    <t>Jiufen, New Taipei City</t>
  </si>
  <si>
    <t>Jiufen Old Street, Ruifang District</t>
  </si>
  <si>
    <t>Tour van / bus 788/825</t>
  </si>
  <si>
    <t>Tour van / bus</t>
  </si>
  <si>
    <t>30–45 min</t>
  </si>
  <si>
    <t>Narrow, crowded lanes – wear comfortable shoes; try a hillside tea house</t>
  </si>
  <si>
    <t>17:00</t>
  </si>
  <si>
    <t>Sunset viewpoint</t>
  </si>
  <si>
    <t>Jiufen Teahouse Lookout</t>
  </si>
  <si>
    <t>Jiufen</t>
  </si>
  <si>
    <t>Golden hour over the coastline; weather-dependent view – backup: stay in a tea house</t>
  </si>
  <si>
    <t>Dinner &amp; return</t>
  </si>
  <si>
    <t>Dinner in Jiufen, then return to Taipei</t>
  </si>
  <si>
    <t>Jiufen → Zhongshan</t>
  </si>
  <si>
    <t>Arrive back in Taipei roughly 20:00–20:30; collect luggage from the hotel</t>
  </si>
  <si>
    <t>21:00</t>
  </si>
  <si>
    <t>Collect luggage &amp; head to airport</t>
  </si>
  <si>
    <t>Hotel (Zhongshan) → Taoyuan Airport</t>
  </si>
  <si>
    <t>Zhongshan → Airport</t>
  </si>
  <si>
    <t>Red Line + Airport MRT / taxi</t>
  </si>
  <si>
    <t>60–90 min</t>
  </si>
  <si>
    <t>Depart by ~21:00–21:30 to reach the airport with time to spare for the 3:15 AM flight; Airport MRT runs until around midnight, taxi after that</t>
  </si>
  <si>
    <t>00:30</t>
  </si>
  <si>
    <t>Very early departure – check-in counters typically open a few hours before; confirm exact opening time with Cebu Pacific</t>
  </si>
  <si>
    <t>03:15</t>
  </si>
  <si>
    <t>Departure flight</t>
  </si>
  <si>
    <t>Cebu Pacific TPE → MNL</t>
  </si>
  <si>
    <t>2h30m</t>
  </si>
  <si>
    <t>Cebu Pacific, Taipei Taoyuan (TPE) 3:15 AM → Manila (MNL) 5:45 AM. Booking ref: Kimberly Domingo JPU86R · Kriza Blanca Domingo SKKC5G – trip complete, safe travels home!</t>
  </si>
  <si>
    <t>TRAVEL REQUIREMENTS &amp; DOCUMENTS – Philippine Passport Holder → Taiwan</t>
  </si>
  <si>
    <t>Entry rules change — recheck every item against the Official Source column before departure. Last verified: Aug 20, 2026.</t>
  </si>
  <si>
    <t>Requirement</t>
  </si>
  <si>
    <t>Required?</t>
  </si>
  <si>
    <t>Deadline</t>
  </si>
  <si>
    <t>Cost</t>
  </si>
  <si>
    <t>Expiration Date</t>
  </si>
  <si>
    <t>Document/Ref #</t>
  </si>
  <si>
    <t>Digital Copy?</t>
  </si>
  <si>
    <t>Printed Copy?</t>
  </si>
  <si>
    <t>Official Source</t>
  </si>
  <si>
    <t>Last Verified</t>
  </si>
  <si>
    <t>Philippine passport (original)</t>
  </si>
  <si>
    <t>Yes</t>
  </si>
  <si>
    <t>Done</t>
  </si>
  <si>
    <t>No</t>
  </si>
  <si>
    <t>Philippine DFA (dfa.gov.ph)</t>
  </si>
  <si>
    <t>Bring the physical passport; a photocopy is not accepted at check-in or immigration</t>
  </si>
  <si>
    <t>Passport validity check (6+ months beyond stay)</t>
  </si>
  <si>
    <t>TECO in the Philippines (roc-taiwan.org)</t>
  </si>
  <si>
    <t>Taiwan requires passport validity of at least 6 months from date of entry</t>
  </si>
  <si>
    <t>Visa / visa-free eligibility</t>
  </si>
  <si>
    <t>No visa needed</t>
  </si>
  <si>
    <t>As of Aug 2026: Philippine passport holders enter visa-free for up to 14 days under the trial scheme – CONFIRM the current end date before booking, as it is periodically renewed</t>
  </si>
  <si>
    <t>Taiwan entry requirements (general)</t>
  </si>
  <si>
    <t>National Immigration Agency (nia.gov.tw)</t>
  </si>
  <si>
    <t>Covers passport validity, onward ticket, accommodation proof and sufficient funds</t>
  </si>
  <si>
    <t>Taiwan Arrival Card (TWAC) – online submission</t>
  </si>
  <si>
    <t>twac.immigration.gov.tw (official, free)</t>
  </si>
  <si>
    <t>Mandatory since Oct 1, 2025 – no paper form. Submit within 3 days before arrival (day of arrival counts); avoid third-party sites that charge a fee</t>
  </si>
  <si>
    <t>Return / onward flight ticket</t>
  </si>
  <si>
    <t>Airline booking confirmation</t>
  </si>
  <si>
    <t>May be checked at check-in and by immigration on arrival</t>
  </si>
  <si>
    <t>Hotel / accommodation confirmation</t>
  </si>
  <si>
    <t>Booking platform confirmation email</t>
  </si>
  <si>
    <t>Print or save a screenshot in case Wi-Fi is unavailable at immigration</t>
  </si>
  <si>
    <t>Travel insurance</t>
  </si>
  <si>
    <t>Insurance provider</t>
  </si>
  <si>
    <t>Not mandatory for visa-free entry, but strongly recommended for medical emergencies and trip delays</t>
  </si>
  <si>
    <t>Proof of sufficient funds</t>
  </si>
  <si>
    <t>Conditional</t>
  </si>
  <si>
    <t>Bank/cash on hand</t>
  </si>
  <si>
    <t>May be requested by immigration officers on a discretionary basis</t>
  </si>
  <si>
    <t>Flight confirmation / e-ticket (both legs)</t>
  </si>
  <si>
    <t>Keep a saved PDF copy accessible offline</t>
  </si>
  <si>
    <t>General immigration document check</t>
  </si>
  <si>
    <t>Have passport, TWAC confirmation and onward ticket ready together at the counter</t>
  </si>
  <si>
    <t>Photocopies of passport (physical)</t>
  </si>
  <si>
    <t>Self-prepared</t>
  </si>
  <si>
    <t>Keep separate from the original in case of loss or theft</t>
  </si>
  <si>
    <t>Digital document backups (cloud/email)</t>
  </si>
  <si>
    <t>Self-prepared (cloud drive/email to self)</t>
  </si>
  <si>
    <t>Store passport, tickets, hotel and insurance PDFs in a cloud folder</t>
  </si>
  <si>
    <t>Emergency contact list</t>
  </si>
  <si>
    <t>Include Philippine Representative Office in Taiwan (MECO) contact number and next-of-kin details</t>
  </si>
  <si>
    <t>EMERGENCY CONTACTS – Philippines ↔ Taiwan</t>
  </si>
  <si>
    <t>Save these to your phone before you fly – you may not have signal right when you need them. Numbers verified Aug 2026; reconfirm close to departure.</t>
  </si>
  <si>
    <t>Contact</t>
  </si>
  <si>
    <t>Phone / Number</t>
  </si>
  <si>
    <t>Taiwan Police (general emergency)</t>
  </si>
  <si>
    <t>110</t>
  </si>
  <si>
    <t>For theft, robbery, accidents, or feeling unsafe</t>
  </si>
  <si>
    <t>Taiwan Fire / Ambulance (general emergency)</t>
  </si>
  <si>
    <t>119</t>
  </si>
  <si>
    <t>For fire or any medical emergency</t>
  </si>
  <si>
    <t>MECO Taipei – 24/7 Emergency Hotline</t>
  </si>
  <si>
    <t>02-2658-8550</t>
  </si>
  <si>
    <t>Philippine Representative Office in Taiwan – for Filipino nationals in life-threatening situations only</t>
  </si>
  <si>
    <t>MECO Taipei – General / Consular Line</t>
  </si>
  <si>
    <t>02-2658-8825</t>
  </si>
  <si>
    <t>Office hours Mon–Fri, 8:00 AM–4:00 PM – for passport, visa, and consular concerns (not emergencies)</t>
  </si>
  <si>
    <t>MECO Taipei – Address</t>
  </si>
  <si>
    <t>2F, Chang Hong New Era Building, 55 &amp; 57 Zhouzi St, Neihu District, Taipei 114</t>
  </si>
  <si>
    <t>Nearest Philippine representative office to Taipei city center</t>
  </si>
  <si>
    <t>Cebu Pacific – Customer Service (Philippines)</t>
  </si>
  <si>
    <t>(02) 8702-0888</t>
  </si>
  <si>
    <t>For flight changes, baggage issues, or delays – reconfirm this number closer to departure as airline hotlines change</t>
  </si>
  <si>
    <t>Hotel Front Desk</t>
  </si>
  <si>
    <t>Add once booked</t>
  </si>
  <si>
    <t>Fill in once your hotel is confirmed</t>
  </si>
  <si>
    <t>Travel Insurance – Emergency Assistance Line</t>
  </si>
  <si>
    <t>Add from policy</t>
  </si>
  <si>
    <t>Fill in from your insurance policy documents</t>
  </si>
  <si>
    <t>BUDGET &amp; EXPENSE TRACKER</t>
  </si>
  <si>
    <t>Blue text = editable input cell. All PHP figures are calculated from the exchange rate cell below.</t>
  </si>
  <si>
    <t>EXCHANGE RATE (EDIT HERE)</t>
  </si>
  <si>
    <t>TOTAL TRIP BUDGET (PHP)</t>
  </si>
  <si>
    <t>1 TWD =</t>
  </si>
  <si>
    <t>PHP  (mid-market ref. rate, Aug 2026 – update before travel / with your money changer's rate)</t>
  </si>
  <si>
    <t>for 2 travelers, 6D5N, mid-range style</t>
  </si>
  <si>
    <t>Category</t>
  </si>
  <si>
    <t>Description</t>
  </si>
  <si>
    <t>Estimated TWD</t>
  </si>
  <si>
    <t>Actual TWD</t>
  </si>
  <si>
    <t>Estimated PHP</t>
  </si>
  <si>
    <t>Actual PHP</t>
  </si>
  <si>
    <t>Paid?</t>
  </si>
  <si>
    <t>Payment Method</t>
  </si>
  <si>
    <t>Traveler</t>
  </si>
  <si>
    <t>Flights</t>
  </si>
  <si>
    <t>Round-trip airfare, Cebu Pacific Manila↔Taipei (2 pax)</t>
  </si>
  <si>
    <t>UB Creditcard</t>
  </si>
  <si>
    <t>Kimberly &amp; Kriza Domingo</t>
  </si>
  <si>
    <t>Booked – Kimberly: JPU86R · Kriza: SKKC5G. Priced in PHP – update with actual fare paid</t>
  </si>
  <si>
    <t>4 nights, hotel near Zhongshan MRT (2 pax sharing)</t>
  </si>
  <si>
    <t>Paid on-site in TWD; breakfast included</t>
  </si>
  <si>
    <t>Single-trip travel insurance (2 pax)</t>
  </si>
  <si>
    <t>Priced in PHP – buy online before departure</t>
  </si>
  <si>
    <t>Airport transportation</t>
  </si>
  <si>
    <t>Airport MRT, arrival + departure transfers (2 pax)</t>
  </si>
  <si>
    <t>Taoyuan Airport MRT Express both ways</t>
  </si>
  <si>
    <t>MRT/local transportation</t>
  </si>
  <si>
    <t>EasyCard top-ups for the trip (2 pax)</t>
  </si>
  <si>
    <t>MRT, bus and YouBike – top up as needed</t>
  </si>
  <si>
    <t>Food</t>
  </si>
  <si>
    <t>Daily food budget – breakfast/lunch/dinner (6 days, 2 pax)</t>
  </si>
  <si>
    <t>Mid-range estimate; night-market meals are cheaper, sit-down dinners more</t>
  </si>
  <si>
    <t>Attractions</t>
  </si>
  <si>
    <t>Taipei 101 Observatory tickets (2 pax)</t>
  </si>
  <si>
    <t>Standard 89F observatory ticket</t>
  </si>
  <si>
    <t>National Palace Museum tickets (2 pax)</t>
  </si>
  <si>
    <t>Regular adult ticket</t>
  </si>
  <si>
    <t>Tours</t>
  </si>
  <si>
    <t>Jiufen &amp; Shifen day tour (2 pax)</t>
  </si>
  <si>
    <t>Small-group tour with sky lantern experience</t>
  </si>
  <si>
    <t>SIM/eSIM</t>
  </si>
  <si>
    <t>6-day unlimited data SIM/eSIM (2 pax)</t>
  </si>
  <si>
    <t>Collect at airport or install before departure</t>
  </si>
  <si>
    <t>Shopping</t>
  </si>
  <si>
    <t>General shopping allowance</t>
  </si>
  <si>
    <t>Clothes, cosmetics, specialty goods</t>
  </si>
  <si>
    <t>Souvenirs</t>
  </si>
  <si>
    <t>Pineapple cakes, gifts, keepsakes</t>
  </si>
  <si>
    <t>Buy near airport for fresher pineapple cakes</t>
  </si>
  <si>
    <t>Emergency fund</t>
  </si>
  <si>
    <t>Cash buffer for unexpected costs</t>
  </si>
  <si>
    <t>Kept aside, PHP equivalent carried as cash/card</t>
  </si>
  <si>
    <t>Miscellaneous</t>
  </si>
  <si>
    <t>Tips, incidentals, extra snacks</t>
  </si>
  <si>
    <t>Buffer for anything uncategorized</t>
  </si>
  <si>
    <t>Total Estimated (TWD)</t>
  </si>
  <si>
    <t>Total Actual (TWD)</t>
  </si>
  <si>
    <t>Total Estimated (PHP)</t>
  </si>
  <si>
    <t>Total Actual (PHP)</t>
  </si>
  <si>
    <t>Total Paid (PHP)</t>
  </si>
  <si>
    <t>Remaining Budget vs. Actual (PHP)</t>
  </si>
  <si>
    <t>Remaining Budget vs. Estimate (PHP)</t>
  </si>
  <si>
    <t>Difference: Actual vs Estimated (PHP)</t>
  </si>
  <si>
    <t>Cost per Traveler, Estimated (PHP)</t>
  </si>
  <si>
    <t>CATEGORY SPENDING SUMMARY</t>
  </si>
  <si>
    <t>DAILY SPENDING SUMMARY (from Master Itinerary)</t>
  </si>
  <si>
    <t>Estimated (PHP)</t>
  </si>
  <si>
    <t>Actual (PHP)</t>
  </si>
  <si>
    <t>% of Estimated Total</t>
  </si>
  <si>
    <t>Estimated Spend (PHP)</t>
  </si>
  <si>
    <t>Day 1</t>
  </si>
  <si>
    <t>Day 2</t>
  </si>
  <si>
    <t>Day 3</t>
  </si>
  <si>
    <t>Day 4</t>
  </si>
  <si>
    <t>Day 5</t>
  </si>
  <si>
    <t>Day 6</t>
  </si>
  <si>
    <t>FLIGHTS, HOTEL &amp; BOOKINGS</t>
  </si>
  <si>
    <t>All confirmed and pending reservations for the trip. Blue text = editable input cell.</t>
  </si>
  <si>
    <t>Booking Type</t>
  </si>
  <si>
    <t>Provider</t>
  </si>
  <si>
    <t>Location</t>
  </si>
  <si>
    <t>Confirmation #</t>
  </si>
  <si>
    <t>Currency</t>
  </si>
  <si>
    <t>PHP Equivalent</t>
  </si>
  <si>
    <t>Payment Deadline</t>
  </si>
  <si>
    <t>Cancellation Deadline</t>
  </si>
  <si>
    <t>Link</t>
  </si>
  <si>
    <t>Flight - Outbound</t>
  </si>
  <si>
    <t>Cebu Pacific (5J)</t>
  </si>
  <si>
    <t>Manila (MNL) → Taipei Taoyuan (TPE)</t>
  </si>
  <si>
    <t>Kimberly: JPU86R · Kriza: SKKC5G</t>
  </si>
  <si>
    <t>PHP</t>
  </si>
  <si>
    <t>Departs Manila 11:35 PM Mar 15, arrives Taipei 2:00 AM Mar 16 (+1 day) · Confirm flight number, terminal and baggage allowance on the e-ticket · Promo fares are usually non-refundable</t>
  </si>
  <si>
    <t>Flight - Return</t>
  </si>
  <si>
    <t>Taipei Taoyuan (TPE) → Manila (MNL)</t>
  </si>
  <si>
    <t>Departs Taipei 3:15 AM, arrives Manila 5:45 AM, both Mar 20 · Very early departure – leave the hotel by ~21:00–21:30 the night before · Confirm flight number and terminal on the e-ticket</t>
  </si>
  <si>
    <t>Agoda / Booking.com (sample)</t>
  </si>
  <si>
    <t>15:00</t>
  </si>
  <si>
    <t>Hotel near Zhongshan MRT, Zhongshan District, Taipei</t>
  </si>
  <si>
    <t>HTL-SAMPLE-001</t>
  </si>
  <si>
    <t>TWD</t>
  </si>
  <si>
    <t>Airport Transfer - Arrival</t>
  </si>
  <si>
    <t>Taoyuan Airport MRT / taxi</t>
  </si>
  <si>
    <t>03:00</t>
  </si>
  <si>
    <t>Taoyuan Airport (TPE) → Hotel (Zhongshan)</t>
  </si>
  <si>
    <t>2 pax · Landing at 2:00 AM – first Airport MRT train is ~6:00 AM, so budget for a taxi (~NT$1,000–1,200) if heading straight to the hotel</t>
  </si>
  <si>
    <t>Airport Transfer - Departure</t>
  </si>
  <si>
    <t>Hotel (Zhongshan) → Taoyuan Airport (TPE)</t>
  </si>
  <si>
    <t>2 pax · Depart the night of Mar 19 for the 3:15 AM Mar 20 flight · Airport MRT runs until around midnight, taxi after that</t>
  </si>
  <si>
    <t>Tour - Jiufen &amp; Shifen Day Trip</t>
  </si>
  <si>
    <t>Klook / KKday (sample)</t>
  </si>
  <si>
    <t>Hotel pickup → Shifen → Jiufen → Hotel</t>
  </si>
  <si>
    <t>TOUR-SAMPLE-01</t>
  </si>
  <si>
    <t>2 pax · Small-group day tour · Includes sky lantern · Runs on the last day – luggage stays at the hotel front desk after check-out</t>
  </si>
  <si>
    <t>Attraction Ticket - Taipei 101 Observatory</t>
  </si>
  <si>
    <t>Official site / Klook</t>
  </si>
  <si>
    <t>Taipei 101, Xinyi District</t>
  </si>
  <si>
    <t>T101-SAMPLE</t>
  </si>
  <si>
    <t>2 pax · 89F indoor observatory · Book online in advance for discount and to skip queue</t>
  </si>
  <si>
    <t>Attraction Ticket - National Palace Museum</t>
  </si>
  <si>
    <t>Official site (npm.gov.tw)</t>
  </si>
  <si>
    <t>National Palace Museum, Shilin District</t>
  </si>
  <si>
    <t>NPM-SAMPLE</t>
  </si>
  <si>
    <t>2 pax · Regular adult ticket · Closed Mondays – confirm open days before booking</t>
  </si>
  <si>
    <t>SIM / eSIM</t>
  </si>
  <si>
    <t>Klook / Chunghwa Telecom</t>
  </si>
  <si>
    <t>SIM-SAMPLE</t>
  </si>
  <si>
    <t>2 pax · 5-day unlimited data eSIM/SIM – install before the overnight flight if using an eSIM</t>
  </si>
  <si>
    <t>Restaurant Reservation (optional)</t>
  </si>
  <si>
    <t>Din Tai Fung, Xinyi</t>
  </si>
  <si>
    <t>Din Tai Fung, Taipei 101 Mall</t>
  </si>
  <si>
    <t>Optional – book online in advance, especially for dinner slots</t>
  </si>
  <si>
    <t>PACKING &amp; PRE-TRIP CHECKLIST</t>
  </si>
  <si>
    <t>Tick off items as you pack. Completion percentages update automatically.</t>
  </si>
  <si>
    <t>PACKING LIST</t>
  </si>
  <si>
    <t>Item</t>
  </si>
  <si>
    <t>Quantity</t>
  </si>
  <si>
    <t>Packed?</t>
  </si>
  <si>
    <t>Carry-on/Checked</t>
  </si>
  <si>
    <t>Priority</t>
  </si>
  <si>
    <t>Passport</t>
  </si>
  <si>
    <t>Passport/documents</t>
  </si>
  <si>
    <t>Carry-on</t>
  </si>
  <si>
    <t>High</t>
  </si>
  <si>
    <t>Keep in a travel wallet with visas/tickets</t>
  </si>
  <si>
    <t>Printed hotel &amp; flight confirmations</t>
  </si>
  <si>
    <t>Also saved digitally</t>
  </si>
  <si>
    <t>TWAC confirmation (screenshot/printout)</t>
  </si>
  <si>
    <t>Submit online within 3 days before arrival</t>
  </si>
  <si>
    <t>Cash (PHP + some TWD)</t>
  </si>
  <si>
    <t>Money/cards</t>
  </si>
  <si>
    <t>Small TWD amount for arrival before exchanging more</t>
  </si>
  <si>
    <t>Debit/credit cards</t>
  </si>
  <si>
    <t>Notify your bank of international travel</t>
  </si>
  <si>
    <t>Travel wallet/pouch</t>
  </si>
  <si>
    <t>Medium</t>
  </si>
  <si>
    <t>Keep documents and cards together</t>
  </si>
  <si>
    <t>T-shirts / tops</t>
  </si>
  <si>
    <t>Clothing</t>
  </si>
  <si>
    <t>Checked</t>
  </si>
  <si>
    <t>Layer-friendly for cool November evenings</t>
  </si>
  <si>
    <t>Light jacket / cardigan</t>
  </si>
  <si>
    <t>Evenings and Beitou/Elephant Mtn can be cool</t>
  </si>
  <si>
    <t>Pants/shorts</t>
  </si>
  <si>
    <t>Mix of long pants and shorts</t>
  </si>
  <si>
    <t>Sleepwear</t>
  </si>
  <si>
    <t>Low</t>
  </si>
  <si>
    <t>Undergarments &amp; socks</t>
  </si>
  <si>
    <t>Comfortable walking shoes</t>
  </si>
  <si>
    <t>Shoes</t>
  </si>
  <si>
    <t>Essential for Jiufen, Elephant Mountain, night markets</t>
  </si>
  <si>
    <t>Sandals/flip-flops</t>
  </si>
  <si>
    <t>For hotel or hot spring use</t>
  </si>
  <si>
    <t>Toothbrush &amp; toothpaste</t>
  </si>
  <si>
    <t>Toiletries</t>
  </si>
  <si>
    <t>Skincare/sunscreen</t>
  </si>
  <si>
    <t>Keep liquids under 100ml in carry-on</t>
  </si>
  <si>
    <t>Shampoo/soap (travel size)</t>
  </si>
  <si>
    <t>Most hotels provide basics</t>
  </si>
  <si>
    <t>Feminine hygiene/personal care items</t>
  </si>
  <si>
    <t>Phone + charging cable</t>
  </si>
  <si>
    <t>Electronics</t>
  </si>
  <si>
    <t>Power bank</t>
  </si>
  <si>
    <t>Under 20,000mAh for airline compliance – verify with airline</t>
  </si>
  <si>
    <t>Camera</t>
  </si>
  <si>
    <t>Optional – phone camera may be enough</t>
  </si>
  <si>
    <t>Universal/Taiwan travel adapter (Type A/B)</t>
  </si>
  <si>
    <t>Chargers/adapters</t>
  </si>
  <si>
    <t>Taiwan uses Type A/B sockets, 110V – same as Philippines</t>
  </si>
  <si>
    <t>Extra charging cables</t>
  </si>
  <si>
    <t>Portable multi-USB charger</t>
  </si>
  <si>
    <t>Personal medications</t>
  </si>
  <si>
    <t>Medicines/basic first aid</t>
  </si>
  <si>
    <t>Bring in original packaging with prescription if needed</t>
  </si>
  <si>
    <t>Basic first aid kit (band-aids, pain reliever)</t>
  </si>
  <si>
    <t>Motion sickness / anti-diarrheal tablets</t>
  </si>
  <si>
    <t>Compact umbrella</t>
  </si>
  <si>
    <t>Umbrella/rain gear</t>
  </si>
  <si>
    <t>November can bring rain showers</t>
  </si>
  <si>
    <t>Light rain jacket/poncho</t>
  </si>
  <si>
    <t>Useful for Jiufen/Shifen day trip</t>
  </si>
  <si>
    <t>Day bag/backpack</t>
  </si>
  <si>
    <t>Travel accessories</t>
  </si>
  <si>
    <t>For daily excursions</t>
  </si>
  <si>
    <t>Reusable water bottle</t>
  </si>
  <si>
    <t>Refill stations common at MRT stations</t>
  </si>
  <si>
    <t>Luggage lock &amp; tags</t>
  </si>
  <si>
    <t>Neck pillow</t>
  </si>
  <si>
    <t>Carry-on essentials</t>
  </si>
  <si>
    <t>For the flight</t>
  </si>
  <si>
    <t>Snacks for the flight</t>
  </si>
  <si>
    <t>Face mask &amp; hand sanitizer</t>
  </si>
  <si>
    <t>PACKING COMPLETION %</t>
  </si>
  <si>
    <t>PRE-TRIP TASKS</t>
  </si>
  <si>
    <t>Task</t>
  </si>
  <si>
    <t>1-2 MONTHS BEFORE</t>
  </si>
  <si>
    <t>Check passport validity (6+ months)</t>
  </si>
  <si>
    <t>Renew now if expiring soon</t>
  </si>
  <si>
    <t>Check Taiwan entry requirements</t>
  </si>
  <si>
    <t>See Travel Documents tab</t>
  </si>
  <si>
    <t>Book flights</t>
  </si>
  <si>
    <t>Book hotel</t>
  </si>
  <si>
    <t>Buy travel insurance</t>
  </si>
  <si>
    <t>Plan itinerary</t>
  </si>
  <si>
    <t>See Master Itinerary tab</t>
  </si>
  <si>
    <t>2-4 WEEKS BEFORE</t>
  </si>
  <si>
    <t>Confirm all bookings</t>
  </si>
  <si>
    <t>Flight, hotel, tours</t>
  </si>
  <si>
    <t>Book important attractions/tours</t>
  </si>
  <si>
    <t>Taipei 101, NPM, Jiufen/Shifen tour</t>
  </si>
  <si>
    <t>Arrange SIM/eSIM</t>
  </si>
  <si>
    <t>Prepare budget</t>
  </si>
  <si>
    <t>See Budget Tracker tab</t>
  </si>
  <si>
    <t>Check transportation options</t>
  </si>
  <si>
    <t>EasyCard, Airport MRT</t>
  </si>
  <si>
    <t>1 WEEK BEFORE</t>
  </si>
  <si>
    <t>Check weather forecast</t>
  </si>
  <si>
    <t>Download offline maps</t>
  </si>
  <si>
    <t>Google Maps offline area for Taipei</t>
  </si>
  <si>
    <t>Prepare documents</t>
  </si>
  <si>
    <t>Passport, TWAC, printouts</t>
  </si>
  <si>
    <t>Prepare cash/cards</t>
  </si>
  <si>
    <t>Small TWD amount + cards</t>
  </si>
  <si>
    <t>Confirm flights/hotel</t>
  </si>
  <si>
    <t>Review itinerary</t>
  </si>
  <si>
    <t>1-2 DAYS BEFORE</t>
  </si>
  <si>
    <t>Complete online check-in</t>
  </si>
  <si>
    <t>Download boarding passes</t>
  </si>
  <si>
    <t>Print important documents</t>
  </si>
  <si>
    <t>Charge electronics</t>
  </si>
  <si>
    <t>Complete packing</t>
  </si>
  <si>
    <t>See Packing List above</t>
  </si>
  <si>
    <t>Confirm airport transportation</t>
  </si>
  <si>
    <t>PRE-TRIP TASKS COMPLETION %</t>
  </si>
  <si>
    <t>FOOD &amp; PLACES – QUICK REFERENCE</t>
  </si>
  <si>
    <t>A handy shortlist – not exhaustive. Prices and hours can change; verify for anything time-sensitive.</t>
  </si>
  <si>
    <t>MUST-TRY TAIWANESE FOOD</t>
  </si>
  <si>
    <t>Food/Restaurant</t>
  </si>
  <si>
    <t>Area</t>
  </si>
  <si>
    <t>Estimated Cost</t>
  </si>
  <si>
    <t>Opening Hours</t>
  </si>
  <si>
    <t>Must Try?</t>
  </si>
  <si>
    <t>Beef noodle soup</t>
  </si>
  <si>
    <t>Citywide (try Yongkang St)</t>
  </si>
  <si>
    <t>Lunch/Dinner</t>
  </si>
  <si>
    <t>11:00–21:00 (varies)</t>
  </si>
  <si>
    <t>Taipei's signature comfort dish</t>
  </si>
  <si>
    <t>Xiao long bao (Din Tai Fung)</t>
  </si>
  <si>
    <t>Xinyi / citywide branches</t>
  </si>
  <si>
    <t>11:00–21:00</t>
  </si>
  <si>
    <t>Expect a queue at peak hours; book online where possible</t>
  </si>
  <si>
    <t>Gua bao (braised pork bun)</t>
  </si>
  <si>
    <t>Night markets / Huaxi St</t>
  </si>
  <si>
    <t>Snack</t>
  </si>
  <si>
    <t>Evening, varies by stall</t>
  </si>
  <si>
    <t>Sometimes called 'Taiwanese hamburger'</t>
  </si>
  <si>
    <t>Lu rou fan (braised pork rice)</t>
  </si>
  <si>
    <t>Citywide</t>
  </si>
  <si>
    <t>11:00–20:00 (varies)</t>
  </si>
  <si>
    <t>Simple, cheap, and everywhere</t>
  </si>
  <si>
    <t>Taiwanese fried chicken (Hot Star style)</t>
  </si>
  <si>
    <t>Shilin / Ximending night markets</t>
  </si>
  <si>
    <t>Look for the long queues – usually a good sign</t>
  </si>
  <si>
    <t>Scallion pancake</t>
  </si>
  <si>
    <t>Night markets / street stalls</t>
  </si>
  <si>
    <t>Crispy, savory, best fresh off the griddle</t>
  </si>
  <si>
    <t>Oyster omelet</t>
  </si>
  <si>
    <t>Night markets (Shilin, Raohe)</t>
  </si>
  <si>
    <t>Snack/Dinner</t>
  </si>
  <si>
    <t>A Taiwanese night-market classic</t>
  </si>
  <si>
    <t>Bubble tea</t>
  </si>
  <si>
    <t>10:00–22:00 (varies)</t>
  </si>
  <si>
    <t>Taiwan is the birthplace of boba</t>
  </si>
  <si>
    <t>Pineapple cake</t>
  </si>
  <si>
    <t>Bakeries / airport / Dihua St</t>
  </si>
  <si>
    <t>Snack/Souvenir</t>
  </si>
  <si>
    <t>10:00–20:00 (varies)</t>
  </si>
  <si>
    <t>Buy near the airport for the freshest box to bring home</t>
  </si>
  <si>
    <t>Night-market snack crawl</t>
  </si>
  <si>
    <t>Shilin / Raohe / Ningxia</t>
  </si>
  <si>
    <t>17:00–23:00 (varies)</t>
  </si>
  <si>
    <t>Budget for grazing across several stalls</t>
  </si>
  <si>
    <t>PLACES TO VISIT</t>
  </si>
  <si>
    <t>Type</t>
  </si>
  <si>
    <t>Recommended Duration</t>
  </si>
  <si>
    <t>Entrance Fee</t>
  </si>
  <si>
    <t>Best Time</t>
  </si>
  <si>
    <t>Nearest MRT</t>
  </si>
  <si>
    <t>Visited?</t>
  </si>
  <si>
    <t>Must See</t>
  </si>
  <si>
    <t>1.5–2 hrs</t>
  </si>
  <si>
    <t>10:00–21:00</t>
  </si>
  <si>
    <t>NT$600</t>
  </si>
  <si>
    <t>Late afternoon for sunset+night view</t>
  </si>
  <si>
    <t>Taipei 101/World Trade Center</t>
  </si>
  <si>
    <t>Book online in advance; go near sunset for both daylight and night skyline views</t>
  </si>
  <si>
    <t>Ximending</t>
  </si>
  <si>
    <t>2–3 hrs</t>
  </si>
  <si>
    <t>Shops ~11:00–22:00</t>
  </si>
  <si>
    <t>Free to walk</t>
  </si>
  <si>
    <t>Evening</t>
  </si>
  <si>
    <t>Ximen</t>
  </si>
  <si>
    <t>Great for shopping, arcades, cinemas, and street food</t>
  </si>
  <si>
    <t>1–1.5 hrs</t>
  </si>
  <si>
    <t>9:00–18:00</t>
  </si>
  <si>
    <t>Free</t>
  </si>
  <si>
    <t>Morning (guard ceremony hourly)</t>
  </si>
  <si>
    <t>CKS Memorial Hall</t>
  </si>
  <si>
    <t>Hourly changing-of-the-guard ceremony is a highlight</t>
  </si>
  <si>
    <t>6:00–22:00</t>
  </si>
  <si>
    <t>Morning, less crowded</t>
  </si>
  <si>
    <t>Taipei's oldest and most important temple</t>
  </si>
  <si>
    <t>Dihua Street</t>
  </si>
  <si>
    <t>Datong</t>
  </si>
  <si>
    <t>1–2 hrs</t>
  </si>
  <si>
    <t>10:00–19:00 (varies)</t>
  </si>
  <si>
    <t>Weekday morning</t>
  </si>
  <si>
    <t>Beimen</t>
  </si>
  <si>
    <t>Historic dried-goods and herbal medicine street</t>
  </si>
  <si>
    <t>1.5–2.5 hrs</t>
  </si>
  <si>
    <t>16:00–24:00 (varies)</t>
  </si>
  <si>
    <t>Free to enter</t>
  </si>
  <si>
    <t>Jiantan</t>
  </si>
  <si>
    <t>One of Taipei's largest and most famous night markets</t>
  </si>
  <si>
    <t>17:00–24:00 (varies)</t>
  </si>
  <si>
    <t>Michelin Bib Gourmand street food stalls</t>
  </si>
  <si>
    <t>3–4 hrs</t>
  </si>
  <si>
    <t>Tue–Sun 9:00–17:00, closed Mon</t>
  </si>
  <si>
    <t>NT$350</t>
  </si>
  <si>
    <t>Shilin + shuttle bus</t>
  </si>
  <si>
    <t>Home of the Jadeite Cabbage and Meat-Shaped Stone</t>
  </si>
  <si>
    <t>Varies by spa; Thermal Valley 9:00–17:00</t>
  </si>
  <si>
    <t>NT$300–800</t>
  </si>
  <si>
    <t>Afternoon</t>
  </si>
  <si>
    <t>Xinbeitou</t>
  </si>
  <si>
    <t>Relaxing afternoon; some spas require reservations</t>
  </si>
  <si>
    <t>Weather Dependent</t>
  </si>
  <si>
    <t>Trail always open (daylight best)</t>
  </si>
  <si>
    <t>1 hr before sunset</t>
  </si>
  <si>
    <t>Xiangshan</t>
  </si>
  <si>
    <t>Iconic sunset hiking spot overlooking Taipei 101</t>
  </si>
  <si>
    <t>Huashan 1914 Creative Park</t>
  </si>
  <si>
    <t>Zhongzheng/Zhongshan</t>
  </si>
  <si>
    <t>Optional</t>
  </si>
  <si>
    <t>Grounds 24hrs; exhibits vary</t>
  </si>
  <si>
    <t>Free grounds; exhibits ticketed</t>
  </si>
  <si>
    <t>Zhongxiao Xinsheng</t>
  </si>
  <si>
    <t>Former winery turned creative/arts park</t>
  </si>
  <si>
    <t>New Taipei City</t>
  </si>
  <si>
    <t>Late afternoon / sunset</t>
  </si>
  <si>
    <t>N/A (bus/tour)</t>
  </si>
  <si>
    <t>Famous red-lantern-lit hillside streets and tea houses</t>
  </si>
  <si>
    <t>Shifen Old Street &amp; Waterfall</t>
  </si>
  <si>
    <t>Daylight hours</t>
  </si>
  <si>
    <t>Free (lantern ~NT$150)</t>
  </si>
  <si>
    <t>Midday</t>
  </si>
  <si>
    <t>N/A (Pingxi Line train)</t>
  </si>
  <si>
    <t>Sky lantern releases and a scenic waterfall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</si>
</sst>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₱#,##0"/>
    <numFmt numFmtId="165" formatCode="mmm\ d&quot;, &quot;yyyy"/>
    <numFmt numFmtId="166" formatCode="mmm\ d&quot;, &quot;yyyy&quot; (&quot;ddd\)"/>
    <numFmt numFmtId="167" formatCode="&quot;NT$&quot;#,##0;&quot;PHP varies&quot;"/>
    <numFmt numFmtId="168" formatCode="0.0000"/>
    <numFmt numFmtId="169" formatCode="&quot;NT$&quot;#,##0"/>
  </numFmts>
  <fonts count="22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b/>
      <sz val="11"/>
      <color rgb="FFFFFFFF"/>
      <name val="Arial"/>
      <charset val="1"/>
    </font>
    <font>
      <i/>
      <sz val="8.5"/>
      <color rgb="FF555555"/>
      <name val="Arial"/>
      <charset val="1"/>
    </font>
    <font>
      <b/>
      <sz val="10.5"/>
      <color rgb="FFFFFFFF"/>
      <name val="Arial"/>
      <charset val="1"/>
    </font>
    <font>
      <sz val="9.5"/>
      <color rgb="FF222222"/>
      <name val="Arial"/>
      <charset val="1"/>
    </font>
    <font>
      <b/>
      <sz val="10"/>
      <color rgb="FF222222"/>
      <name val="Arial"/>
      <charset val="1"/>
    </font>
    <font>
      <b/>
      <sz val="10"/>
      <color rgb="FF1F4E9C"/>
      <name val="Arial"/>
      <charset val="1"/>
    </font>
    <font>
      <b/>
      <sz val="9.5"/>
      <color rgb="FF222222"/>
      <name val="Arial"/>
      <charset val="1"/>
    </font>
    <font>
      <b/>
      <sz val="11"/>
      <color rgb="FF222222"/>
      <name val="Arial"/>
      <charset val="1"/>
    </font>
    <font>
      <b/>
      <sz val="9"/>
      <color rgb="FFFFFFFF"/>
      <name val="Arial"/>
      <charset val="1"/>
    </font>
    <font>
      <b/>
      <sz val="15"/>
      <color rgb="FFFFFFFF"/>
      <name val="Arial"/>
      <charset val="1"/>
    </font>
    <font>
      <sz val="8.5"/>
      <color rgb="FF1155CC"/>
      <name val="Arial"/>
      <charset val="1"/>
    </font>
    <font>
      <b/>
      <sz val="13.5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b/>
      <sz val="13"/>
      <color rgb="FF1F4E9C"/>
      <name val="Arial"/>
      <charset val="1"/>
    </font>
    <font>
      <i/>
      <sz val="8.5"/>
      <color rgb="FF222222"/>
      <name val="Arial"/>
      <charset val="1"/>
    </font>
    <font>
      <b/>
      <sz val="9.5"/>
      <color rgb="FFFFFFFF"/>
      <name val="Arial"/>
      <charset val="1"/>
    </font>
    <font>
      <sz val="9.5"/>
      <color rgb="FF1F4E9C"/>
      <name val="Arial"/>
      <charset val="1"/>
    </font>
    <font>
      <b/>
      <sz val="12"/>
      <color rgb="FF222222"/>
      <name val="Arial"/>
      <charset val="1"/>
    </font>
    <font>
      <sz val="9"/>
      <color rgb="FF222222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1F4E9C"/>
      </patternFill>
    </fill>
    <fill>
      <patternFill patternType="solid">
        <fgColor rgb="FF0F7A6B"/>
        <bgColor rgb="FF008080"/>
      </patternFill>
    </fill>
    <fill>
      <patternFill patternType="solid">
        <fgColor rgb="FFF2F2F2"/>
        <bgColor rgb="FFF0F0F0"/>
      </patternFill>
    </fill>
    <fill>
      <patternFill patternType="solid">
        <fgColor rgb="FFFFF3CD"/>
        <bgColor rgb="FFFDF6EC"/>
      </patternFill>
    </fill>
    <fill>
      <patternFill patternType="solid">
        <fgColor rgb="FFD9D9D9"/>
        <bgColor rgb="FFC6E8C6"/>
      </patternFill>
    </fill>
    <fill>
      <patternFill patternType="solid">
        <fgColor rgb="FFFDF6EC"/>
        <bgColor rgb="FFF3F7E8"/>
      </patternFill>
    </fill>
    <fill>
      <patternFill patternType="solid">
        <fgColor rgb="FFEAF3EF"/>
        <bgColor rgb="FFEAF0F8"/>
      </patternFill>
    </fill>
    <fill>
      <patternFill patternType="solid">
        <fgColor rgb="FFEAF0F8"/>
        <bgColor rgb="FFEAF3EF"/>
      </patternFill>
    </fill>
    <fill>
      <patternFill patternType="solid">
        <fgColor rgb="FFF7EDF3"/>
        <bgColor rgb="FFF0F0F0"/>
      </patternFill>
    </fill>
    <fill>
      <patternFill patternType="solid">
        <fgColor rgb="FFF3F7E8"/>
        <bgColor rgb="FFF2F2F2"/>
      </patternFill>
    </fill>
    <fill>
      <patternFill patternType="solid">
        <fgColor rgb="FFF0F0F0"/>
        <bgColor rgb="FFF2F2F2"/>
      </patternFill>
    </fill>
    <fill>
      <patternFill patternType="solid">
        <fgColor rgb="FFC8102E"/>
        <bgColor rgb="FF9933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9" fontId="9" fillId="6" borderId="2" xfId="0" applyNumberFormat="1" applyFont="1" applyFill="1" applyBorder="1"/>
    <xf numFmtId="9" fontId="6" fillId="0" borderId="2" xfId="0" applyNumberFormat="1" applyFont="1" applyBorder="1"/>
    <xf numFmtId="165" fontId="7" fillId="5" borderId="2" xfId="0" applyNumberFormat="1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8" fillId="6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6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66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66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6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5" fillId="0" borderId="0" xfId="0" applyFont="1"/>
    <xf numFmtId="168" fontId="16" fillId="5" borderId="1" xfId="0" applyNumberFormat="1" applyFont="1" applyFill="1" applyBorder="1"/>
    <xf numFmtId="0" fontId="17" fillId="0" borderId="0" xfId="0" applyFont="1" applyAlignment="1">
      <alignment horizontal="left" vertical="center" wrapText="1"/>
    </xf>
    <xf numFmtId="164" fontId="16" fillId="5" borderId="1" xfId="0" applyNumberFormat="1" applyFont="1" applyFill="1" applyBorder="1"/>
    <xf numFmtId="0" fontId="18" fillId="2" borderId="1" xfId="0" applyFont="1" applyFill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9" fontId="6" fillId="4" borderId="1" xfId="0" applyNumberFormat="1" applyFont="1" applyFill="1" applyBorder="1"/>
    <xf numFmtId="164" fontId="6" fillId="4" borderId="1" xfId="0" applyNumberFormat="1" applyFont="1" applyFill="1" applyBorder="1"/>
    <xf numFmtId="16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9" fontId="20" fillId="4" borderId="0" xfId="0" applyNumberFormat="1" applyFont="1" applyFill="1"/>
    <xf numFmtId="169" fontId="0" fillId="0" borderId="1" xfId="0" applyNumberForma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37">
    <dxf>
      <fill>
        <patternFill>
          <bgColor rgb="FFC6E8C6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C6E8C6"/>
        </patternFill>
      </fill>
    </dxf>
    <dxf>
      <fill>
        <patternFill>
          <bgColor rgb="FFFFE1A8"/>
        </patternFill>
      </fill>
    </dxf>
    <dxf>
      <fill>
        <patternFill>
          <bgColor rgb="FFF5B7B1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FFE1A8"/>
        </patternFill>
      </fill>
    </dxf>
    <dxf>
      <fill>
        <patternFill>
          <bgColor rgb="FFF5B7B1"/>
        </patternFill>
      </fill>
    </dxf>
    <dxf>
      <fill>
        <patternFill>
          <bgColor rgb="FFC6E8C6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C6E8C6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FFE1A8"/>
        </patternFill>
      </fill>
    </dxf>
    <dxf>
      <fill>
        <patternFill>
          <bgColor rgb="FFF5B7B1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C6E8C6"/>
        </patternFill>
      </fill>
    </dxf>
    <dxf>
      <fill>
        <patternFill>
          <bgColor rgb="FFC6E8C6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FBE3E4"/>
        </patternFill>
      </fill>
    </dxf>
    <dxf>
      <fill>
        <patternFill>
          <bgColor rgb="FFFFF3CD"/>
        </patternFill>
      </fill>
    </dxf>
    <dxf>
      <fill>
        <patternFill>
          <bgColor rgb="FFE3F0DD"/>
        </patternFill>
      </fill>
    </dxf>
    <dxf>
      <fill>
        <patternFill>
          <bgColor rgb="FFC6E8C6"/>
        </patternFill>
      </fill>
    </dxf>
    <dxf>
      <fill>
        <patternFill>
          <bgColor rgb="FFC6E8C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DF6EC"/>
      <rgbColor rgb="FFFF00FF"/>
      <rgbColor rgb="FF00FFFF"/>
      <rgbColor rgb="FF800000"/>
      <rgbColor rgb="FF008000"/>
      <rgbColor rgb="FF000080"/>
      <rgbColor rgb="FF808000"/>
      <rgbColor rgb="FF800080"/>
      <rgbColor rgb="FF0F7A6B"/>
      <rgbColor rgb="FFBFBFBF"/>
      <rgbColor rgb="FF808080"/>
      <rgbColor rgb="FFF7EDF3"/>
      <rgbColor rgb="FF993366"/>
      <rgbColor rgb="FFFFF3CD"/>
      <rgbColor rgb="FFEAF3EF"/>
      <rgbColor rgb="FF660066"/>
      <rgbColor rgb="FFFF8080"/>
      <rgbColor rgb="FF1155CC"/>
      <rgbColor rgb="FFD9D9D9"/>
      <rgbColor rgb="FF000080"/>
      <rgbColor rgb="FFFF00FF"/>
      <rgbColor rgb="FFF0F0F0"/>
      <rgbColor rgb="FF00FFFF"/>
      <rgbColor rgb="FF800080"/>
      <rgbColor rgb="FF800000"/>
      <rgbColor rgb="FF008080"/>
      <rgbColor rgb="FF0000FF"/>
      <rgbColor rgb="FF00CCFF"/>
      <rgbColor rgb="FFEAF0F8"/>
      <rgbColor rgb="FFE3F0DD"/>
      <rgbColor rgb="FFF3F7E8"/>
      <rgbColor rgb="FFC6E8C6"/>
      <rgbColor rgb="FFF5B7B1"/>
      <rgbColor rgb="FFFBE3E4"/>
      <rgbColor rgb="FFFFE1A8"/>
      <rgbColor rgb="FF3366FF"/>
      <rgbColor rgb="FF33CCCC"/>
      <rgbColor rgb="FF99CC00"/>
      <rgbColor rgb="FFF2F2F2"/>
      <rgbColor rgb="FFC9A227"/>
      <rgbColor rgb="FFD97B29"/>
      <rgbColor rgb="FF7A5CC0"/>
      <rgbColor rgb="FF969696"/>
      <rgbColor rgb="FF1B3A5C"/>
      <rgbColor rgb="FF339966"/>
      <rgbColor rgb="FF003300"/>
      <rgbColor rgb="FF555555"/>
      <rgbColor rgb="FF993300"/>
      <rgbColor rgb="FF993366"/>
      <rgbColor rgb="FF1F4E9C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  <pageSetUpPr fitToPage="1"/>
  </sheetPr>
  <dimension ref="A1:H29"/>
  <sheetViews>
    <sheetView showGridLines="0" zoomScale="90" zoomScaleNormal="90" workbookViewId="0">
      <selection activeCell="C15" sqref="C15:D15"/>
    </sheetView>
  </sheetViews>
  <sheetFormatPr defaultColWidth="8.7109375" defaultRowHeight="15" x14ac:dyDescent="0.25"/>
  <cols>
    <col min="1" max="1" width="20" customWidth="1"/>
    <col min="2" max="2" width="28.5703125" customWidth="1"/>
    <col min="3" max="3" width="12.85546875" customWidth="1"/>
    <col min="4" max="4" width="24" customWidth="1"/>
    <col min="5" max="5" width="24.5703125" customWidth="1"/>
    <col min="6" max="6" width="4" customWidth="1"/>
    <col min="7" max="7" width="20" customWidth="1"/>
    <col min="8" max="8" width="12" customWidth="1"/>
  </cols>
  <sheetData>
    <row r="1" spans="1:8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tr">
        <f>"Manila → Taipei  |  "&amp;TEXT($C$9,"mmm d, yyyy")&amp;"  –  "&amp;TEXT($C$10,"mmm d, yyyy")&amp;"  ("&amp;($C$10-$C$9)&amp;"N/"&amp;($C$10-$C$9+1)&amp;"D)"</f>
        <v>Manila → Taipei  |  Mar 15, 2027  –  Mar 20, 2027  (5N/6D)</v>
      </c>
      <c r="B2" s="13"/>
      <c r="C2" s="13"/>
      <c r="D2" s="13"/>
      <c r="E2" s="13"/>
      <c r="F2" s="13"/>
      <c r="G2" s="13"/>
      <c r="H2" s="13"/>
    </row>
    <row r="3" spans="1:8" ht="1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</row>
    <row r="6" spans="1:8" ht="15.75" customHeight="1" x14ac:dyDescent="0.25">
      <c r="A6" s="11" t="s">
        <v>2</v>
      </c>
      <c r="B6" s="11"/>
      <c r="E6" s="11" t="s">
        <v>3</v>
      </c>
      <c r="F6" s="11"/>
    </row>
    <row r="7" spans="1:8" ht="15" customHeight="1" x14ac:dyDescent="0.25">
      <c r="A7" s="15" t="s">
        <v>4</v>
      </c>
      <c r="C7" s="10" t="s">
        <v>5</v>
      </c>
      <c r="D7" s="10"/>
      <c r="E7" s="15" t="s">
        <v>6</v>
      </c>
      <c r="G7" s="9">
        <f>TripBudget</f>
        <v>50000</v>
      </c>
      <c r="H7" s="9"/>
    </row>
    <row r="8" spans="1:8" ht="15" customHeight="1" x14ac:dyDescent="0.25">
      <c r="A8" s="15" t="s">
        <v>7</v>
      </c>
      <c r="C8" s="8" t="s">
        <v>8</v>
      </c>
      <c r="D8" s="8"/>
      <c r="E8" s="15" t="s">
        <v>9</v>
      </c>
      <c r="G8" s="9">
        <f>'Budget Tracker'!D26</f>
        <v>74932.62</v>
      </c>
      <c r="H8" s="9"/>
    </row>
    <row r="9" spans="1:8" ht="15" customHeight="1" x14ac:dyDescent="0.25">
      <c r="A9" s="15" t="s">
        <v>10</v>
      </c>
      <c r="C9" s="7">
        <v>46461</v>
      </c>
      <c r="D9" s="7"/>
      <c r="E9" s="15" t="s">
        <v>11</v>
      </c>
      <c r="G9" s="9">
        <f>'Budget Tracker'!D27</f>
        <v>22319.42</v>
      </c>
      <c r="H9" s="9"/>
    </row>
    <row r="10" spans="1:8" ht="15" customHeight="1" x14ac:dyDescent="0.25">
      <c r="A10" s="15" t="s">
        <v>12</v>
      </c>
      <c r="C10" s="7">
        <v>46466</v>
      </c>
      <c r="D10" s="7"/>
      <c r="E10" s="15" t="s">
        <v>13</v>
      </c>
      <c r="G10" s="9">
        <f>'Budget Tracker'!D28</f>
        <v>22319.42</v>
      </c>
      <c r="H10" s="9"/>
    </row>
    <row r="11" spans="1:8" ht="15" customHeight="1" x14ac:dyDescent="0.25">
      <c r="A11" s="15" t="s">
        <v>14</v>
      </c>
      <c r="C11" s="10" t="str">
        <f>($C$10-$C$9)&amp;" nights / "&amp;($C$10-$C$9+1)&amp;" days"</f>
        <v>5 nights / 6 days</v>
      </c>
      <c r="D11" s="10"/>
      <c r="E11" s="15" t="s">
        <v>15</v>
      </c>
      <c r="G11" s="9">
        <f>'Budget Tracker'!D29</f>
        <v>27680.58</v>
      </c>
      <c r="H11" s="9"/>
    </row>
    <row r="12" spans="1:8" ht="15" customHeight="1" x14ac:dyDescent="0.25">
      <c r="A12" s="15" t="s">
        <v>16</v>
      </c>
      <c r="C12" s="8">
        <v>2</v>
      </c>
      <c r="D12" s="8"/>
      <c r="E12" s="15" t="s">
        <v>17</v>
      </c>
      <c r="G12" s="9">
        <f>'Budget Tracker'!D32</f>
        <v>37466.31</v>
      </c>
      <c r="H12" s="9"/>
    </row>
    <row r="13" spans="1:8" ht="28.5" customHeight="1" x14ac:dyDescent="0.25">
      <c r="A13" s="15" t="s">
        <v>18</v>
      </c>
      <c r="C13" s="8" t="s">
        <v>19</v>
      </c>
      <c r="D13" s="8"/>
    </row>
    <row r="14" spans="1:8" ht="15" customHeight="1" x14ac:dyDescent="0.25">
      <c r="A14" s="15" t="s">
        <v>20</v>
      </c>
      <c r="C14" s="8" t="s">
        <v>21</v>
      </c>
      <c r="D14" s="8"/>
    </row>
    <row r="15" spans="1:8" ht="15" customHeight="1" x14ac:dyDescent="0.25">
      <c r="A15" s="15" t="s">
        <v>22</v>
      </c>
      <c r="C15" s="10" t="str">
        <f>"1 TWD = "&amp;TEXT(FXRate,"0.0000")&amp;" PHP"</f>
        <v>1 TWD = 1.9300 PHP</v>
      </c>
      <c r="D15" s="10"/>
    </row>
    <row r="16" spans="1:8" ht="15.75" customHeight="1" x14ac:dyDescent="0.25">
      <c r="A16" s="11" t="s">
        <v>23</v>
      </c>
      <c r="B16" s="11"/>
    </row>
    <row r="17" spans="1:8" ht="15.75" customHeight="1" x14ac:dyDescent="0.25">
      <c r="A17" s="15" t="s">
        <v>24</v>
      </c>
      <c r="C17" s="6">
        <f>COUNTIF('Travel Documents'!$C$5:$C$18,"Done")/COUNTA('Travel Documents'!$A$5:$A$18)</f>
        <v>7.1428571428571425E-2</v>
      </c>
      <c r="D17" s="6"/>
    </row>
    <row r="18" spans="1:8" ht="15.75" customHeight="1" x14ac:dyDescent="0.25">
      <c r="A18" s="15" t="s">
        <v>25</v>
      </c>
      <c r="C18" s="6">
        <f>COUNTIF(Bookings!$M$5:$M$14,"Confirmed")/COUNTA(Bookings!$A$5:$A$14)</f>
        <v>0.2</v>
      </c>
      <c r="D18" s="6"/>
    </row>
    <row r="19" spans="1:8" ht="15.75" customHeight="1" x14ac:dyDescent="0.25">
      <c r="A19" s="15" t="s">
        <v>26</v>
      </c>
      <c r="C19" s="6">
        <f>COUNTIF('Budget Tracker'!$H$8:$H$21,"Yes")/COUNTA('Budget Tracker'!$B$8:$B$21)</f>
        <v>7.1428571428571425E-2</v>
      </c>
      <c r="D19" s="6"/>
    </row>
    <row r="20" spans="1:8" ht="15.75" customHeight="1" x14ac:dyDescent="0.25">
      <c r="A20" s="15" t="s">
        <v>27</v>
      </c>
      <c r="C20" s="6">
        <f>'Packing &amp; Pre-Trip'!D40</f>
        <v>0</v>
      </c>
      <c r="D20" s="6"/>
    </row>
    <row r="21" spans="1:8" ht="15.75" customHeight="1" x14ac:dyDescent="0.25">
      <c r="A21" s="15" t="s">
        <v>28</v>
      </c>
      <c r="C21" s="6">
        <f>'Packing &amp; Pre-Trip'!D72</f>
        <v>0</v>
      </c>
      <c r="D21" s="6"/>
    </row>
    <row r="22" spans="1:8" ht="16.5" customHeight="1" x14ac:dyDescent="0.25">
      <c r="A22" s="16" t="s">
        <v>29</v>
      </c>
      <c r="C22" s="5">
        <f>AVERAGE(C17:C21)</f>
        <v>6.8571428571428575E-2</v>
      </c>
      <c r="D22" s="5"/>
    </row>
    <row r="24" spans="1:8" ht="15.75" customHeight="1" x14ac:dyDescent="0.25">
      <c r="A24" s="11" t="s">
        <v>30</v>
      </c>
      <c r="B24" s="11"/>
      <c r="C24" s="11"/>
      <c r="D24" s="11"/>
      <c r="E24" s="11"/>
      <c r="F24" s="11"/>
      <c r="G24" s="11"/>
      <c r="H24" s="11"/>
    </row>
    <row r="25" spans="1:8" ht="30" customHeight="1" x14ac:dyDescent="0.25">
      <c r="A25" s="17" t="s">
        <v>31</v>
      </c>
      <c r="B25" s="17" t="s">
        <v>32</v>
      </c>
      <c r="C25" s="17" t="s">
        <v>33</v>
      </c>
      <c r="D25" s="17" t="s">
        <v>34</v>
      </c>
      <c r="E25" s="17" t="s">
        <v>35</v>
      </c>
      <c r="F25" s="17" t="s">
        <v>36</v>
      </c>
    </row>
    <row r="26" spans="1:8" ht="15.75" customHeight="1" x14ac:dyDescent="0.25">
      <c r="A26" s="18" t="s">
        <v>37</v>
      </c>
      <c r="B26" s="19" t="str">
        <f>INDEX(Bookings!$B:$B,MATCH("Flight - Outbound",Bookings!$A:$A,0))</f>
        <v>Cebu Pacific (5J)</v>
      </c>
      <c r="C26" s="20">
        <f>INDEX(Bookings!$C:$C,MATCH("Flight - Outbound",Bookings!$A:$A,0))</f>
        <v>46461</v>
      </c>
      <c r="D26" s="21">
        <f>SUMPRODUCT(ISNUMBER(SEARCH("Flight",Bookings!$A$5:$A$14))*Bookings!$I$5:$I$14)</f>
        <v>16500</v>
      </c>
      <c r="E26" s="22" t="str">
        <f>INDEX(Bookings!$M:$M,MATCH("Flight - Outbound",Bookings!$A:$A,0))</f>
        <v>Confirmed</v>
      </c>
      <c r="F26" s="4" t="str">
        <f>INDEX(Bookings!$O:$O,MATCH("Flight - Outbound",Bookings!$A:$A,0))</f>
        <v>Departs Manila 11:35 PM Mar 15, arrives Taipei 2:00 AM Mar 16 (+1 day) · Confirm flight number, terminal and baggage allowance on the e-ticket · Promo fares are usually non-refundable</v>
      </c>
      <c r="G26" s="4"/>
      <c r="H26" s="4"/>
    </row>
    <row r="27" spans="1:8" ht="15.75" customHeight="1" x14ac:dyDescent="0.25">
      <c r="A27" s="18" t="s">
        <v>38</v>
      </c>
      <c r="B27" s="19" t="str">
        <f>INDEX(Bookings!$B:$B,MATCH("Hotel",Bookings!$A:$A,0))</f>
        <v>Agoda / Booking.com (sample)</v>
      </c>
      <c r="C27" s="20">
        <f>INDEX(Bookings!$C:$C,MATCH("Hotel",Bookings!$A:$A,0))</f>
        <v>46462</v>
      </c>
      <c r="D27" s="21">
        <f>INDEX(Bookings!$I:$I,MATCH("Hotel",Bookings!$A:$A,0))</f>
        <v>6948</v>
      </c>
      <c r="E27" s="22" t="str">
        <f>INDEX(Bookings!$M:$M,MATCH("Hotel",Bookings!$A:$A,0))</f>
        <v>Not Started</v>
      </c>
      <c r="F27" s="4" t="str">
        <f>INDEX(Bookings!$O:$O,MATCH("Hotel",Bookings!$A:$A,0))</f>
        <v>4 nights (Mar 16–20) · Twin/Double room · Breakfast included · No 2nd hotel night needed – the 3:15 AM Mar 20 flight departs from the same night's stay</v>
      </c>
      <c r="G27" s="4"/>
      <c r="H27" s="4"/>
    </row>
    <row r="28" spans="1:8" ht="15.75" customHeight="1" x14ac:dyDescent="0.25">
      <c r="A28" s="18" t="s">
        <v>39</v>
      </c>
      <c r="B28" s="19" t="str">
        <f>INDEX(Bookings!$B:$B,MATCH("Tour - Jiufen &amp; Shifen Day Trip",Bookings!$A:$A,0))</f>
        <v>Klook / KKday (sample)</v>
      </c>
      <c r="C28" s="20">
        <f>INDEX(Bookings!$C:$C,MATCH("Tour - Jiufen &amp; Shifen Day Trip",Bookings!$A:$A,0))</f>
        <v>46465</v>
      </c>
      <c r="D28" s="21">
        <f>INDEX(Bookings!$I:$I,MATCH("Tour - Jiufen &amp; Shifen Day Trip",Bookings!$A:$A,0))</f>
        <v>4632</v>
      </c>
      <c r="E28" s="22" t="str">
        <f>INDEX(Bookings!$M:$M,MATCH("Tour - Jiufen &amp; Shifen Day Trip",Bookings!$A:$A,0))</f>
        <v>Not Started</v>
      </c>
      <c r="F28" s="4" t="str">
        <f>INDEX(Bookings!$O:$O,MATCH("Tour - Jiufen &amp; Shifen Day Trip",Bookings!$A:$A,0))</f>
        <v>2 pax · Small-group day tour · Includes sky lantern · Runs on the last day – luggage stays at the hotel front desk after check-out</v>
      </c>
      <c r="G28" s="4"/>
      <c r="H28" s="4"/>
    </row>
    <row r="29" spans="1:8" ht="15.75" customHeight="1" x14ac:dyDescent="0.25">
      <c r="A29" s="18" t="s">
        <v>40</v>
      </c>
      <c r="B29" s="19" t="str">
        <f>INDEX(Bookings!$B:$B,MATCH("Airport Transfer - Arrival",Bookings!$A:$A,0))</f>
        <v>Taoyuan Airport MRT / taxi</v>
      </c>
      <c r="C29" s="20">
        <f>INDEX(Bookings!$C:$C,MATCH("Airport Transfer - Arrival",Bookings!$A:$A,0))</f>
        <v>46462</v>
      </c>
      <c r="D29" s="21">
        <f>INDEX(Bookings!$I:$I,MATCH("Airport Transfer - Arrival",Bookings!$A:$A,0))</f>
        <v>1930</v>
      </c>
      <c r="E29" s="22" t="str">
        <f>INDEX(Bookings!$M:$M,MATCH("Airport Transfer - Arrival",Bookings!$A:$A,0))</f>
        <v>Not Started</v>
      </c>
      <c r="F29" s="4" t="str">
        <f>INDEX(Bookings!$O:$O,MATCH("Airport Transfer - Arrival",Bookings!$A:$A,0))</f>
        <v>2 pax · Landing at 2:00 AM – first Airport MRT train is ~6:00 AM, so budget for a taxi (~NT$1,000–1,200) if heading straight to the hotel</v>
      </c>
      <c r="G29" s="4"/>
      <c r="H29" s="4"/>
    </row>
  </sheetData>
  <mergeCells count="32">
    <mergeCell ref="A24:H24"/>
    <mergeCell ref="F26:H26"/>
    <mergeCell ref="F27:H27"/>
    <mergeCell ref="F28:H28"/>
    <mergeCell ref="F29:H29"/>
    <mergeCell ref="C18:D18"/>
    <mergeCell ref="C19:D19"/>
    <mergeCell ref="C20:D20"/>
    <mergeCell ref="C21:D21"/>
    <mergeCell ref="C22:D22"/>
    <mergeCell ref="C13:D13"/>
    <mergeCell ref="C14:D14"/>
    <mergeCell ref="C15:D15"/>
    <mergeCell ref="A16:B16"/>
    <mergeCell ref="C17:D17"/>
    <mergeCell ref="C10:D10"/>
    <mergeCell ref="G10:H10"/>
    <mergeCell ref="C11:D11"/>
    <mergeCell ref="G11:H11"/>
    <mergeCell ref="C12:D12"/>
    <mergeCell ref="G12:H12"/>
    <mergeCell ref="C7:D7"/>
    <mergeCell ref="G7:H7"/>
    <mergeCell ref="C8:D8"/>
    <mergeCell ref="G8:H8"/>
    <mergeCell ref="C9:D9"/>
    <mergeCell ref="G9:H9"/>
    <mergeCell ref="A1:H1"/>
    <mergeCell ref="A2:H2"/>
    <mergeCell ref="A3:H3"/>
    <mergeCell ref="A6:B6"/>
    <mergeCell ref="E6:F6"/>
  </mergeCells>
  <conditionalFormatting sqref="A26:F29">
    <cfRule type="expression" dxfId="36" priority="8">
      <formula>$E26="Confirmed"</formula>
    </cfRule>
    <cfRule type="expression" dxfId="35" priority="9">
      <formula>$E26="Done"</formula>
    </cfRule>
  </conditionalFormatting>
  <conditionalFormatting sqref="C17:C22">
    <cfRule type="cellIs" dxfId="34" priority="2" operator="greaterThanOrEqual">
      <formula>0.8</formula>
    </cfRule>
    <cfRule type="cellIs" dxfId="33" priority="3" operator="between">
      <formula>0.5</formula>
      <formula>0.7999</formula>
    </cfRule>
    <cfRule type="cellIs" dxfId="32" priority="4" operator="lessThan">
      <formula>0.5</formula>
    </cfRule>
  </conditionalFormatting>
  <conditionalFormatting sqref="E26:E29">
    <cfRule type="expression" dxfId="31" priority="5">
      <formula>OR(E26="Done",E26="Confirmed")</formula>
    </cfRule>
    <cfRule type="expression" dxfId="30" priority="6">
      <formula>OR(E26="In Progress",E26="Pending",E26="Not Started")</formula>
    </cfRule>
    <cfRule type="expression" dxfId="29" priority="7">
      <formula>OR(E26="Cancelled",E26="Urgent",E26="Overdue")</formula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A6B"/>
    <pageSetUpPr fitToPage="1"/>
  </sheetPr>
  <dimension ref="A1:Q38"/>
  <sheetViews>
    <sheetView showGridLines="0" zoomScale="70" zoomScaleNormal="70" workbookViewId="0">
      <pane xSplit="3" ySplit="4" topLeftCell="D35" activePane="bottomRight" state="frozen"/>
      <selection pane="topRight" activeCell="D1" sqref="D1"/>
      <selection pane="bottomLeft" activeCell="A35" sqref="A35"/>
      <selection pane="bottomRight" activeCell="H32" sqref="H32"/>
    </sheetView>
  </sheetViews>
  <sheetFormatPr defaultColWidth="8.7109375" defaultRowHeight="15" x14ac:dyDescent="0.25"/>
  <cols>
    <col min="1" max="1" width="6" customWidth="1"/>
    <col min="2" max="2" width="18.5703125" customWidth="1"/>
    <col min="3" max="3" width="8" customWidth="1"/>
    <col min="4" max="4" width="15" customWidth="1"/>
    <col min="5" max="5" width="22" customWidth="1"/>
    <col min="6" max="6" width="14" customWidth="1"/>
    <col min="7" max="7" width="22" customWidth="1"/>
    <col min="8" max="9" width="14" customWidth="1"/>
    <col min="10" max="12" width="10" customWidth="1"/>
    <col min="13" max="13" width="9" customWidth="1"/>
    <col min="14" max="14" width="12" customWidth="1"/>
    <col min="15" max="15" width="11" customWidth="1"/>
    <col min="16" max="16" width="34" customWidth="1"/>
    <col min="17" max="17" width="16.7109375" customWidth="1"/>
  </cols>
  <sheetData>
    <row r="1" spans="1:17" ht="27.75" customHeight="1" x14ac:dyDescent="0.25">
      <c r="A1" s="3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.75" customHeight="1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30" customHeight="1" x14ac:dyDescent="0.25">
      <c r="A4" s="17" t="s">
        <v>43</v>
      </c>
      <c r="B4" s="17" t="s">
        <v>33</v>
      </c>
      <c r="C4" s="17" t="s">
        <v>44</v>
      </c>
      <c r="D4" s="17" t="s">
        <v>45</v>
      </c>
      <c r="E4" s="17" t="s">
        <v>46</v>
      </c>
      <c r="F4" s="17" t="s">
        <v>47</v>
      </c>
      <c r="G4" s="17" t="s">
        <v>48</v>
      </c>
      <c r="H4" s="17" t="s">
        <v>49</v>
      </c>
      <c r="I4" s="17" t="s">
        <v>50</v>
      </c>
      <c r="J4" s="17" t="s">
        <v>51</v>
      </c>
      <c r="K4" s="17" t="s">
        <v>52</v>
      </c>
      <c r="L4" s="17" t="s">
        <v>53</v>
      </c>
      <c r="M4" s="17" t="s">
        <v>54</v>
      </c>
      <c r="N4" s="17" t="s">
        <v>55</v>
      </c>
      <c r="O4" s="17" t="s">
        <v>35</v>
      </c>
      <c r="P4" s="17" t="s">
        <v>36</v>
      </c>
      <c r="Q4" s="17" t="s">
        <v>56</v>
      </c>
    </row>
    <row r="5" spans="1:17" ht="39.75" customHeight="1" x14ac:dyDescent="0.25">
      <c r="A5" s="23">
        <v>1</v>
      </c>
      <c r="B5" s="24">
        <f>Dashboard!$C$9+0</f>
        <v>46461</v>
      </c>
      <c r="C5" s="23" t="s">
        <v>57</v>
      </c>
      <c r="D5" s="25" t="s">
        <v>58</v>
      </c>
      <c r="E5" s="25" t="s">
        <v>59</v>
      </c>
      <c r="F5" s="25" t="s">
        <v>60</v>
      </c>
      <c r="G5" s="25" t="s">
        <v>61</v>
      </c>
      <c r="H5" s="25" t="s">
        <v>62</v>
      </c>
      <c r="I5" s="25" t="s">
        <v>63</v>
      </c>
      <c r="J5" s="23" t="s">
        <v>64</v>
      </c>
      <c r="K5" s="26">
        <v>0</v>
      </c>
      <c r="L5" s="27">
        <f t="shared" ref="L5:L38" si="0">K5*FXRate</f>
        <v>0</v>
      </c>
      <c r="M5" s="23" t="s">
        <v>65</v>
      </c>
      <c r="N5" s="23" t="s">
        <v>66</v>
      </c>
      <c r="O5" s="23" t="s">
        <v>67</v>
      </c>
      <c r="P5" s="25" t="s">
        <v>68</v>
      </c>
      <c r="Q5" s="28" t="str">
        <f t="shared" ref="Q5:Q38" si="1">IF(E5="","","https://www.google.com/maps/search/"&amp;SUBSTITUTE(E5," ","+"))</f>
        <v>https://www.google.com/maps/search/NAIA+Terminal+3,+Manila</v>
      </c>
    </row>
    <row r="6" spans="1:17" ht="60" customHeight="1" x14ac:dyDescent="0.25">
      <c r="A6" s="23">
        <v>1</v>
      </c>
      <c r="B6" s="24">
        <f>Dashboard!$C$9+0</f>
        <v>46461</v>
      </c>
      <c r="C6" s="23" t="s">
        <v>69</v>
      </c>
      <c r="D6" s="25" t="s">
        <v>70</v>
      </c>
      <c r="E6" s="25" t="s">
        <v>59</v>
      </c>
      <c r="F6" s="25" t="s">
        <v>60</v>
      </c>
      <c r="G6" s="25" t="s">
        <v>61</v>
      </c>
      <c r="H6" s="25" t="s">
        <v>62</v>
      </c>
      <c r="I6" s="25" t="s">
        <v>64</v>
      </c>
      <c r="J6" s="23" t="s">
        <v>64</v>
      </c>
      <c r="K6" s="26">
        <v>0</v>
      </c>
      <c r="L6" s="27">
        <f t="shared" si="0"/>
        <v>0</v>
      </c>
      <c r="M6" s="23" t="s">
        <v>71</v>
      </c>
      <c r="N6" s="23" t="s">
        <v>66</v>
      </c>
      <c r="O6" s="23" t="s">
        <v>67</v>
      </c>
      <c r="P6" s="25" t="s">
        <v>72</v>
      </c>
      <c r="Q6" s="28" t="str">
        <f t="shared" si="1"/>
        <v>https://www.google.com/maps/search/NAIA+Terminal+3,+Manila</v>
      </c>
    </row>
    <row r="7" spans="1:17" ht="75" customHeight="1" x14ac:dyDescent="0.25">
      <c r="A7" s="23">
        <v>1</v>
      </c>
      <c r="B7" s="24">
        <f>Dashboard!$C$9+0</f>
        <v>46461</v>
      </c>
      <c r="C7" s="23" t="s">
        <v>73</v>
      </c>
      <c r="D7" s="25" t="s">
        <v>74</v>
      </c>
      <c r="E7" s="25" t="s">
        <v>75</v>
      </c>
      <c r="F7" s="25" t="s">
        <v>76</v>
      </c>
      <c r="G7" s="25" t="s">
        <v>61</v>
      </c>
      <c r="H7" s="25" t="s">
        <v>62</v>
      </c>
      <c r="I7" s="25" t="s">
        <v>77</v>
      </c>
      <c r="J7" s="23" t="s">
        <v>78</v>
      </c>
      <c r="K7" s="26">
        <v>0</v>
      </c>
      <c r="L7" s="27">
        <f t="shared" si="0"/>
        <v>0</v>
      </c>
      <c r="M7" s="23" t="s">
        <v>65</v>
      </c>
      <c r="N7" s="23" t="s">
        <v>79</v>
      </c>
      <c r="O7" s="23" t="s">
        <v>67</v>
      </c>
      <c r="P7" s="25" t="s">
        <v>80</v>
      </c>
      <c r="Q7" s="28" t="str">
        <f t="shared" si="1"/>
        <v>https://www.google.com/maps/search/Cebu+Pacific+MNL+→+TPE</v>
      </c>
    </row>
    <row r="8" spans="1:17" ht="60" customHeight="1" x14ac:dyDescent="0.25">
      <c r="A8" s="29">
        <v>2</v>
      </c>
      <c r="B8" s="30">
        <f>Dashboard!$C$9+1</f>
        <v>46462</v>
      </c>
      <c r="C8" s="29" t="s">
        <v>81</v>
      </c>
      <c r="D8" s="31" t="s">
        <v>82</v>
      </c>
      <c r="E8" s="31" t="s">
        <v>83</v>
      </c>
      <c r="F8" s="31" t="s">
        <v>76</v>
      </c>
      <c r="G8" s="31" t="s">
        <v>84</v>
      </c>
      <c r="H8" s="31" t="s">
        <v>85</v>
      </c>
      <c r="I8" s="31" t="s">
        <v>86</v>
      </c>
      <c r="J8" s="29" t="s">
        <v>64</v>
      </c>
      <c r="K8" s="32">
        <v>0</v>
      </c>
      <c r="L8" s="33">
        <f t="shared" si="0"/>
        <v>0</v>
      </c>
      <c r="M8" s="29" t="s">
        <v>65</v>
      </c>
      <c r="N8" s="29" t="s">
        <v>66</v>
      </c>
      <c r="O8" s="29" t="s">
        <v>67</v>
      </c>
      <c r="P8" s="31" t="s">
        <v>87</v>
      </c>
      <c r="Q8" s="34" t="str">
        <f t="shared" si="1"/>
        <v>https://www.google.com/maps/search/Taoyuan+International+Airport+(TPE)</v>
      </c>
    </row>
    <row r="9" spans="1:17" ht="78.75" customHeight="1" x14ac:dyDescent="0.25">
      <c r="A9" s="29">
        <v>2</v>
      </c>
      <c r="B9" s="30">
        <f>Dashboard!$C$9+1</f>
        <v>46462</v>
      </c>
      <c r="C9" s="29" t="s">
        <v>88</v>
      </c>
      <c r="D9" s="31" t="s">
        <v>89</v>
      </c>
      <c r="E9" s="31" t="s">
        <v>90</v>
      </c>
      <c r="F9" s="31" t="s">
        <v>91</v>
      </c>
      <c r="G9" s="31"/>
      <c r="H9" s="31" t="s">
        <v>92</v>
      </c>
      <c r="I9" s="31" t="s">
        <v>93</v>
      </c>
      <c r="J9" s="29" t="s">
        <v>94</v>
      </c>
      <c r="K9" s="32">
        <v>160</v>
      </c>
      <c r="L9" s="33">
        <f t="shared" si="0"/>
        <v>308.8</v>
      </c>
      <c r="M9" s="29" t="s">
        <v>65</v>
      </c>
      <c r="N9" s="29" t="s">
        <v>66</v>
      </c>
      <c r="O9" s="29" t="s">
        <v>67</v>
      </c>
      <c r="P9" s="31" t="s">
        <v>95</v>
      </c>
      <c r="Q9" s="34" t="str">
        <f t="shared" si="1"/>
        <v>https://www.google.com/maps/search/Taoyuan+Airport+MRT+→+Taipei+Main+Station+→+Zhongshan</v>
      </c>
    </row>
    <row r="10" spans="1:17" ht="60" customHeight="1" x14ac:dyDescent="0.25">
      <c r="A10" s="29">
        <v>2</v>
      </c>
      <c r="B10" s="30">
        <f>Dashboard!$C$9+1</f>
        <v>46462</v>
      </c>
      <c r="C10" s="29" t="s">
        <v>96</v>
      </c>
      <c r="D10" s="31" t="s">
        <v>97</v>
      </c>
      <c r="E10" s="31" t="s">
        <v>98</v>
      </c>
      <c r="F10" s="31" t="s">
        <v>99</v>
      </c>
      <c r="G10" s="31" t="s">
        <v>100</v>
      </c>
      <c r="H10" s="31" t="s">
        <v>92</v>
      </c>
      <c r="I10" s="31" t="s">
        <v>101</v>
      </c>
      <c r="J10" s="29" t="s">
        <v>102</v>
      </c>
      <c r="K10" s="32">
        <v>0</v>
      </c>
      <c r="L10" s="33">
        <f t="shared" si="0"/>
        <v>0</v>
      </c>
      <c r="M10" s="29" t="s">
        <v>103</v>
      </c>
      <c r="N10" s="29" t="s">
        <v>66</v>
      </c>
      <c r="O10" s="29" t="s">
        <v>67</v>
      </c>
      <c r="P10" s="31" t="s">
        <v>104</v>
      </c>
      <c r="Q10" s="34" t="str">
        <f t="shared" si="1"/>
        <v>https://www.google.com/maps/search/Hotel+near+Zhongshan+MRT</v>
      </c>
    </row>
    <row r="11" spans="1:17" ht="45" customHeight="1" x14ac:dyDescent="0.25">
      <c r="A11" s="29">
        <v>2</v>
      </c>
      <c r="B11" s="30">
        <f>Dashboard!$C$9+1</f>
        <v>46462</v>
      </c>
      <c r="C11" s="29" t="s">
        <v>105</v>
      </c>
      <c r="D11" s="31" t="s">
        <v>106</v>
      </c>
      <c r="E11" s="31" t="s">
        <v>107</v>
      </c>
      <c r="F11" s="31" t="s">
        <v>108</v>
      </c>
      <c r="G11" s="31" t="s">
        <v>109</v>
      </c>
      <c r="H11" s="31" t="s">
        <v>110</v>
      </c>
      <c r="I11" s="31" t="s">
        <v>111</v>
      </c>
      <c r="J11" s="29" t="s">
        <v>112</v>
      </c>
      <c r="K11" s="32">
        <v>0</v>
      </c>
      <c r="L11" s="33">
        <f t="shared" si="0"/>
        <v>0</v>
      </c>
      <c r="M11" s="29" t="s">
        <v>65</v>
      </c>
      <c r="N11" s="29" t="s">
        <v>66</v>
      </c>
      <c r="O11" s="29" t="s">
        <v>67</v>
      </c>
      <c r="P11" s="31" t="s">
        <v>113</v>
      </c>
      <c r="Q11" s="34" t="str">
        <f t="shared" si="1"/>
        <v>https://www.google.com/maps/search/Longshan+Temple</v>
      </c>
    </row>
    <row r="12" spans="1:17" ht="56.25" customHeight="1" x14ac:dyDescent="0.25">
      <c r="A12" s="29">
        <v>2</v>
      </c>
      <c r="B12" s="30">
        <f>Dashboard!$C$9+1</f>
        <v>46462</v>
      </c>
      <c r="C12" s="29" t="s">
        <v>114</v>
      </c>
      <c r="D12" s="31" t="s">
        <v>115</v>
      </c>
      <c r="E12" s="31" t="s">
        <v>116</v>
      </c>
      <c r="F12" s="31" t="s">
        <v>108</v>
      </c>
      <c r="G12" s="31" t="s">
        <v>117</v>
      </c>
      <c r="H12" s="31" t="s">
        <v>110</v>
      </c>
      <c r="I12" s="31" t="s">
        <v>101</v>
      </c>
      <c r="J12" s="29" t="s">
        <v>118</v>
      </c>
      <c r="K12" s="32">
        <v>250</v>
      </c>
      <c r="L12" s="33">
        <f t="shared" si="0"/>
        <v>482.5</v>
      </c>
      <c r="M12" s="29" t="s">
        <v>115</v>
      </c>
      <c r="N12" s="29" t="s">
        <v>66</v>
      </c>
      <c r="O12" s="29" t="s">
        <v>67</v>
      </c>
      <c r="P12" s="31" t="s">
        <v>119</v>
      </c>
      <c r="Q12" s="34" t="str">
        <f t="shared" si="1"/>
        <v>https://www.google.com/maps/search/Local+eatery+near+Wanhua</v>
      </c>
    </row>
    <row r="13" spans="1:17" ht="67.5" customHeight="1" x14ac:dyDescent="0.25">
      <c r="A13" s="29">
        <v>2</v>
      </c>
      <c r="B13" s="30">
        <f>Dashboard!$C$9+1</f>
        <v>46462</v>
      </c>
      <c r="C13" s="29" t="s">
        <v>120</v>
      </c>
      <c r="D13" s="31" t="s">
        <v>121</v>
      </c>
      <c r="E13" s="31" t="s">
        <v>122</v>
      </c>
      <c r="F13" s="31" t="s">
        <v>123</v>
      </c>
      <c r="G13" s="31" t="s">
        <v>124</v>
      </c>
      <c r="H13" s="31" t="s">
        <v>125</v>
      </c>
      <c r="I13" s="31" t="s">
        <v>111</v>
      </c>
      <c r="J13" s="29" t="s">
        <v>126</v>
      </c>
      <c r="K13" s="32">
        <v>0</v>
      </c>
      <c r="L13" s="33">
        <f t="shared" si="0"/>
        <v>0</v>
      </c>
      <c r="M13" s="29" t="s">
        <v>65</v>
      </c>
      <c r="N13" s="29" t="s">
        <v>66</v>
      </c>
      <c r="O13" s="29" t="s">
        <v>67</v>
      </c>
      <c r="P13" s="31" t="s">
        <v>127</v>
      </c>
      <c r="Q13" s="34" t="str">
        <f t="shared" si="1"/>
        <v>https://www.google.com/maps/search/Chiang+Kai-shek+Memorial+Hall</v>
      </c>
    </row>
    <row r="14" spans="1:17" ht="56.25" customHeight="1" x14ac:dyDescent="0.25">
      <c r="A14" s="29">
        <v>2</v>
      </c>
      <c r="B14" s="30">
        <f>Dashboard!$C$9+1</f>
        <v>46462</v>
      </c>
      <c r="C14" s="29" t="s">
        <v>128</v>
      </c>
      <c r="D14" s="31" t="s">
        <v>129</v>
      </c>
      <c r="E14" s="31" t="s">
        <v>98</v>
      </c>
      <c r="F14" s="31" t="s">
        <v>99</v>
      </c>
      <c r="G14" s="31" t="s">
        <v>100</v>
      </c>
      <c r="H14" s="31" t="s">
        <v>92</v>
      </c>
      <c r="I14" s="31" t="s">
        <v>111</v>
      </c>
      <c r="J14" s="29" t="s">
        <v>126</v>
      </c>
      <c r="K14" s="32">
        <v>0</v>
      </c>
      <c r="L14" s="33">
        <f t="shared" si="0"/>
        <v>0</v>
      </c>
      <c r="M14" s="29" t="s">
        <v>65</v>
      </c>
      <c r="N14" s="29" t="s">
        <v>130</v>
      </c>
      <c r="O14" s="29" t="s">
        <v>67</v>
      </c>
      <c r="P14" s="31" t="s">
        <v>131</v>
      </c>
      <c r="Q14" s="34" t="str">
        <f t="shared" si="1"/>
        <v>https://www.google.com/maps/search/Hotel+near+Zhongshan+MRT</v>
      </c>
    </row>
    <row r="15" spans="1:17" ht="75" customHeight="1" x14ac:dyDescent="0.25">
      <c r="A15" s="29">
        <v>2</v>
      </c>
      <c r="B15" s="30">
        <f>Dashboard!$C$9+1</f>
        <v>46462</v>
      </c>
      <c r="C15" s="29" t="s">
        <v>132</v>
      </c>
      <c r="D15" s="31" t="s">
        <v>133</v>
      </c>
      <c r="E15" s="31" t="s">
        <v>134</v>
      </c>
      <c r="F15" s="31" t="s">
        <v>108</v>
      </c>
      <c r="G15" s="31" t="s">
        <v>135</v>
      </c>
      <c r="H15" s="31" t="s">
        <v>136</v>
      </c>
      <c r="I15" s="31" t="s">
        <v>137</v>
      </c>
      <c r="J15" s="29" t="s">
        <v>112</v>
      </c>
      <c r="K15" s="32">
        <v>300</v>
      </c>
      <c r="L15" s="33">
        <f t="shared" si="0"/>
        <v>579</v>
      </c>
      <c r="M15" s="29" t="s">
        <v>71</v>
      </c>
      <c r="N15" s="29" t="s">
        <v>66</v>
      </c>
      <c r="O15" s="29" t="s">
        <v>67</v>
      </c>
      <c r="P15" s="31" t="s">
        <v>138</v>
      </c>
      <c r="Q15" s="34" t="str">
        <f t="shared" si="1"/>
        <v>https://www.google.com/maps/search/Ximending+Pedestrian+Area</v>
      </c>
    </row>
    <row r="16" spans="1:17" ht="45" customHeight="1" x14ac:dyDescent="0.25">
      <c r="A16" s="35">
        <v>3</v>
      </c>
      <c r="B16" s="36">
        <f>Dashboard!$C$9+2</f>
        <v>46463</v>
      </c>
      <c r="C16" s="35" t="s">
        <v>139</v>
      </c>
      <c r="D16" s="37" t="s">
        <v>103</v>
      </c>
      <c r="E16" s="37" t="s">
        <v>140</v>
      </c>
      <c r="F16" s="37" t="s">
        <v>99</v>
      </c>
      <c r="G16" s="37" t="s">
        <v>141</v>
      </c>
      <c r="H16" s="37" t="s">
        <v>92</v>
      </c>
      <c r="I16" s="37" t="s">
        <v>101</v>
      </c>
      <c r="J16" s="35" t="s">
        <v>102</v>
      </c>
      <c r="K16" s="38">
        <v>150</v>
      </c>
      <c r="L16" s="39">
        <f t="shared" si="0"/>
        <v>289.5</v>
      </c>
      <c r="M16" s="35" t="s">
        <v>103</v>
      </c>
      <c r="N16" s="35" t="s">
        <v>66</v>
      </c>
      <c r="O16" s="35" t="s">
        <v>67</v>
      </c>
      <c r="P16" s="37" t="s">
        <v>142</v>
      </c>
      <c r="Q16" s="40" t="str">
        <f t="shared" si="1"/>
        <v>https://www.google.com/maps/search/Hotel+area+breakfast</v>
      </c>
    </row>
    <row r="17" spans="1:17" ht="60" customHeight="1" x14ac:dyDescent="0.25">
      <c r="A17" s="35">
        <v>3</v>
      </c>
      <c r="B17" s="36">
        <f>Dashboard!$C$9+2</f>
        <v>46463</v>
      </c>
      <c r="C17" s="35" t="s">
        <v>143</v>
      </c>
      <c r="D17" s="37" t="s">
        <v>144</v>
      </c>
      <c r="E17" s="37" t="s">
        <v>145</v>
      </c>
      <c r="F17" s="37" t="s">
        <v>146</v>
      </c>
      <c r="G17" s="37" t="s">
        <v>147</v>
      </c>
      <c r="H17" s="37" t="s">
        <v>148</v>
      </c>
      <c r="I17" s="37" t="s">
        <v>111</v>
      </c>
      <c r="J17" s="35" t="s">
        <v>112</v>
      </c>
      <c r="K17" s="38">
        <v>600</v>
      </c>
      <c r="L17" s="39">
        <f t="shared" si="0"/>
        <v>1158</v>
      </c>
      <c r="M17" s="35" t="s">
        <v>65</v>
      </c>
      <c r="N17" s="35" t="s">
        <v>149</v>
      </c>
      <c r="O17" s="35" t="s">
        <v>67</v>
      </c>
      <c r="P17" s="37" t="s">
        <v>150</v>
      </c>
      <c r="Q17" s="40" t="str">
        <f t="shared" si="1"/>
        <v>https://www.google.com/maps/search/Taipei+101+Observatory</v>
      </c>
    </row>
    <row r="18" spans="1:17" ht="60" customHeight="1" x14ac:dyDescent="0.25">
      <c r="A18" s="35">
        <v>3</v>
      </c>
      <c r="B18" s="36">
        <f>Dashboard!$C$9+2</f>
        <v>46463</v>
      </c>
      <c r="C18" s="35" t="s">
        <v>151</v>
      </c>
      <c r="D18" s="37" t="s">
        <v>115</v>
      </c>
      <c r="E18" s="37" t="s">
        <v>152</v>
      </c>
      <c r="F18" s="37" t="s">
        <v>146</v>
      </c>
      <c r="G18" s="37" t="s">
        <v>153</v>
      </c>
      <c r="H18" s="37" t="s">
        <v>148</v>
      </c>
      <c r="I18" s="37" t="s">
        <v>101</v>
      </c>
      <c r="J18" s="35" t="s">
        <v>118</v>
      </c>
      <c r="K18" s="38">
        <v>350</v>
      </c>
      <c r="L18" s="39">
        <f t="shared" si="0"/>
        <v>675.5</v>
      </c>
      <c r="M18" s="35" t="s">
        <v>115</v>
      </c>
      <c r="N18" s="35" t="s">
        <v>66</v>
      </c>
      <c r="O18" s="35" t="s">
        <v>67</v>
      </c>
      <c r="P18" s="37" t="s">
        <v>154</v>
      </c>
      <c r="Q18" s="40" t="str">
        <f t="shared" si="1"/>
        <v>https://www.google.com/maps/search/Taipei+101+Mall+food+options</v>
      </c>
    </row>
    <row r="19" spans="1:17" ht="60" customHeight="1" x14ac:dyDescent="0.25">
      <c r="A19" s="35">
        <v>3</v>
      </c>
      <c r="B19" s="36">
        <f>Dashboard!$C$9+2</f>
        <v>46463</v>
      </c>
      <c r="C19" s="35" t="s">
        <v>120</v>
      </c>
      <c r="D19" s="37" t="s">
        <v>155</v>
      </c>
      <c r="E19" s="37" t="s">
        <v>156</v>
      </c>
      <c r="F19" s="37" t="s">
        <v>146</v>
      </c>
      <c r="G19" s="37" t="s">
        <v>157</v>
      </c>
      <c r="H19" s="37" t="s">
        <v>148</v>
      </c>
      <c r="I19" s="37" t="s">
        <v>101</v>
      </c>
      <c r="J19" s="35" t="s">
        <v>64</v>
      </c>
      <c r="K19" s="38">
        <v>500</v>
      </c>
      <c r="L19" s="39">
        <f t="shared" si="0"/>
        <v>965</v>
      </c>
      <c r="M19" s="35" t="s">
        <v>65</v>
      </c>
      <c r="N19" s="35" t="s">
        <v>66</v>
      </c>
      <c r="O19" s="35" t="s">
        <v>67</v>
      </c>
      <c r="P19" s="37" t="s">
        <v>158</v>
      </c>
      <c r="Q19" s="40" t="str">
        <f t="shared" si="1"/>
        <v>https://www.google.com/maps/search/Xinyi+Shopping+District</v>
      </c>
    </row>
    <row r="20" spans="1:17" ht="75" customHeight="1" x14ac:dyDescent="0.25">
      <c r="A20" s="35">
        <v>3</v>
      </c>
      <c r="B20" s="36">
        <f>Dashboard!$C$9+2</f>
        <v>46463</v>
      </c>
      <c r="C20" s="35" t="s">
        <v>159</v>
      </c>
      <c r="D20" s="37" t="s">
        <v>160</v>
      </c>
      <c r="E20" s="37" t="s">
        <v>161</v>
      </c>
      <c r="F20" s="37" t="s">
        <v>146</v>
      </c>
      <c r="G20" s="37" t="s">
        <v>162</v>
      </c>
      <c r="H20" s="37" t="s">
        <v>163</v>
      </c>
      <c r="I20" s="37" t="s">
        <v>164</v>
      </c>
      <c r="J20" s="35" t="s">
        <v>126</v>
      </c>
      <c r="K20" s="38">
        <v>0</v>
      </c>
      <c r="L20" s="39">
        <f t="shared" si="0"/>
        <v>0</v>
      </c>
      <c r="M20" s="35" t="s">
        <v>65</v>
      </c>
      <c r="N20" s="35" t="s">
        <v>66</v>
      </c>
      <c r="O20" s="35" t="s">
        <v>67</v>
      </c>
      <c r="P20" s="37" t="s">
        <v>165</v>
      </c>
      <c r="Q20" s="40" t="str">
        <f t="shared" si="1"/>
        <v>https://www.google.com/maps/search/Elephant+Mountain+(Xiangshan)</v>
      </c>
    </row>
    <row r="21" spans="1:17" ht="56.25" customHeight="1" x14ac:dyDescent="0.25">
      <c r="A21" s="35">
        <v>3</v>
      </c>
      <c r="B21" s="36">
        <f>Dashboard!$C$9+2</f>
        <v>46463</v>
      </c>
      <c r="C21" s="35" t="s">
        <v>166</v>
      </c>
      <c r="D21" s="37" t="s">
        <v>71</v>
      </c>
      <c r="E21" s="37" t="s">
        <v>167</v>
      </c>
      <c r="F21" s="37" t="s">
        <v>168</v>
      </c>
      <c r="G21" s="37" t="s">
        <v>169</v>
      </c>
      <c r="H21" s="37" t="s">
        <v>170</v>
      </c>
      <c r="I21" s="37" t="s">
        <v>171</v>
      </c>
      <c r="J21" s="35" t="s">
        <v>102</v>
      </c>
      <c r="K21" s="38">
        <v>300</v>
      </c>
      <c r="L21" s="39">
        <f t="shared" si="0"/>
        <v>579</v>
      </c>
      <c r="M21" s="35" t="s">
        <v>71</v>
      </c>
      <c r="N21" s="35" t="s">
        <v>66</v>
      </c>
      <c r="O21" s="35" t="s">
        <v>67</v>
      </c>
      <c r="P21" s="37" t="s">
        <v>172</v>
      </c>
      <c r="Q21" s="40" t="str">
        <f t="shared" si="1"/>
        <v>https://www.google.com/maps/search/Raohe+Street+Night+Market</v>
      </c>
    </row>
    <row r="22" spans="1:17" ht="45" customHeight="1" x14ac:dyDescent="0.25">
      <c r="A22" s="41">
        <v>4</v>
      </c>
      <c r="B22" s="42">
        <f>Dashboard!$C$9+3</f>
        <v>46464</v>
      </c>
      <c r="C22" s="41" t="s">
        <v>139</v>
      </c>
      <c r="D22" s="43" t="s">
        <v>103</v>
      </c>
      <c r="E22" s="43" t="s">
        <v>140</v>
      </c>
      <c r="F22" s="43" t="s">
        <v>99</v>
      </c>
      <c r="G22" s="43" t="s">
        <v>141</v>
      </c>
      <c r="H22" s="43" t="s">
        <v>92</v>
      </c>
      <c r="I22" s="43" t="s">
        <v>101</v>
      </c>
      <c r="J22" s="41" t="s">
        <v>102</v>
      </c>
      <c r="K22" s="44">
        <v>150</v>
      </c>
      <c r="L22" s="45">
        <f t="shared" si="0"/>
        <v>289.5</v>
      </c>
      <c r="M22" s="41" t="s">
        <v>103</v>
      </c>
      <c r="N22" s="41" t="s">
        <v>66</v>
      </c>
      <c r="O22" s="41" t="s">
        <v>67</v>
      </c>
      <c r="P22" s="43" t="s">
        <v>173</v>
      </c>
      <c r="Q22" s="46" t="str">
        <f t="shared" si="1"/>
        <v>https://www.google.com/maps/search/Hotel+area+breakfast</v>
      </c>
    </row>
    <row r="23" spans="1:17" ht="56.25" customHeight="1" x14ac:dyDescent="0.25">
      <c r="A23" s="41">
        <v>4</v>
      </c>
      <c r="B23" s="42">
        <f>Dashboard!$C$9+3</f>
        <v>46464</v>
      </c>
      <c r="C23" s="41" t="s">
        <v>174</v>
      </c>
      <c r="D23" s="43" t="s">
        <v>175</v>
      </c>
      <c r="E23" s="43" t="s">
        <v>176</v>
      </c>
      <c r="F23" s="43" t="s">
        <v>177</v>
      </c>
      <c r="G23" s="43" t="s">
        <v>178</v>
      </c>
      <c r="H23" s="43" t="s">
        <v>179</v>
      </c>
      <c r="I23" s="43" t="s">
        <v>180</v>
      </c>
      <c r="J23" s="41" t="s">
        <v>181</v>
      </c>
      <c r="K23" s="44">
        <v>350</v>
      </c>
      <c r="L23" s="45">
        <f t="shared" si="0"/>
        <v>675.5</v>
      </c>
      <c r="M23" s="41" t="s">
        <v>65</v>
      </c>
      <c r="N23" s="41" t="s">
        <v>149</v>
      </c>
      <c r="O23" s="41" t="s">
        <v>67</v>
      </c>
      <c r="P23" s="43" t="s">
        <v>182</v>
      </c>
      <c r="Q23" s="46" t="str">
        <f t="shared" si="1"/>
        <v>https://www.google.com/maps/search/National+Palace+Museum</v>
      </c>
    </row>
    <row r="24" spans="1:17" ht="67.5" customHeight="1" x14ac:dyDescent="0.25">
      <c r="A24" s="41">
        <v>4</v>
      </c>
      <c r="B24" s="42">
        <f>Dashboard!$C$9+3</f>
        <v>46464</v>
      </c>
      <c r="C24" s="41" t="s">
        <v>114</v>
      </c>
      <c r="D24" s="43" t="s">
        <v>115</v>
      </c>
      <c r="E24" s="43" t="s">
        <v>183</v>
      </c>
      <c r="F24" s="43" t="s">
        <v>177</v>
      </c>
      <c r="G24" s="43" t="s">
        <v>184</v>
      </c>
      <c r="H24" s="43" t="s">
        <v>185</v>
      </c>
      <c r="I24" s="43" t="s">
        <v>101</v>
      </c>
      <c r="J24" s="41" t="s">
        <v>118</v>
      </c>
      <c r="K24" s="44">
        <v>400</v>
      </c>
      <c r="L24" s="45">
        <f t="shared" si="0"/>
        <v>772</v>
      </c>
      <c r="M24" s="41" t="s">
        <v>115</v>
      </c>
      <c r="N24" s="41" t="s">
        <v>66</v>
      </c>
      <c r="O24" s="41" t="s">
        <v>67</v>
      </c>
      <c r="P24" s="43" t="s">
        <v>186</v>
      </c>
      <c r="Q24" s="46" t="str">
        <f t="shared" si="1"/>
        <v>https://www.google.com/maps/search/Eatery+near+National+Palace+Museum</v>
      </c>
    </row>
    <row r="25" spans="1:17" ht="45" customHeight="1" x14ac:dyDescent="0.25">
      <c r="A25" s="41">
        <v>4</v>
      </c>
      <c r="B25" s="42">
        <f>Dashboard!$C$9+3</f>
        <v>46464</v>
      </c>
      <c r="C25" s="41" t="s">
        <v>120</v>
      </c>
      <c r="D25" s="43" t="s">
        <v>187</v>
      </c>
      <c r="E25" s="43" t="s">
        <v>188</v>
      </c>
      <c r="F25" s="43" t="s">
        <v>189</v>
      </c>
      <c r="G25" s="43"/>
      <c r="H25" s="43" t="s">
        <v>190</v>
      </c>
      <c r="I25" s="43" t="s">
        <v>111</v>
      </c>
      <c r="J25" s="41" t="s">
        <v>191</v>
      </c>
      <c r="K25" s="44">
        <v>0</v>
      </c>
      <c r="L25" s="45">
        <f t="shared" si="0"/>
        <v>0</v>
      </c>
      <c r="M25" s="41" t="s">
        <v>65</v>
      </c>
      <c r="N25" s="41" t="s">
        <v>66</v>
      </c>
      <c r="O25" s="41" t="s">
        <v>67</v>
      </c>
      <c r="P25" s="43" t="s">
        <v>192</v>
      </c>
      <c r="Q25" s="46" t="str">
        <f t="shared" si="1"/>
        <v>https://www.google.com/maps/search/Beitou+District</v>
      </c>
    </row>
    <row r="26" spans="1:17" ht="75" customHeight="1" x14ac:dyDescent="0.25">
      <c r="A26" s="41">
        <v>4</v>
      </c>
      <c r="B26" s="42">
        <f>Dashboard!$C$9+3</f>
        <v>46464</v>
      </c>
      <c r="C26" s="41" t="s">
        <v>193</v>
      </c>
      <c r="D26" s="43" t="s">
        <v>194</v>
      </c>
      <c r="E26" s="43" t="s">
        <v>195</v>
      </c>
      <c r="F26" s="43" t="s">
        <v>189</v>
      </c>
      <c r="G26" s="43" t="s">
        <v>196</v>
      </c>
      <c r="H26" s="43" t="s">
        <v>197</v>
      </c>
      <c r="I26" s="43" t="s">
        <v>101</v>
      </c>
      <c r="J26" s="41" t="s">
        <v>102</v>
      </c>
      <c r="K26" s="44">
        <v>600</v>
      </c>
      <c r="L26" s="45">
        <f t="shared" si="0"/>
        <v>1158</v>
      </c>
      <c r="M26" s="41" t="s">
        <v>65</v>
      </c>
      <c r="N26" s="41" t="s">
        <v>149</v>
      </c>
      <c r="O26" s="41" t="s">
        <v>67</v>
      </c>
      <c r="P26" s="43" t="s">
        <v>198</v>
      </c>
      <c r="Q26" s="46" t="str">
        <f t="shared" si="1"/>
        <v>https://www.google.com/maps/search/Beitou+Hot+Spring+/+Thermal+Valley</v>
      </c>
    </row>
    <row r="27" spans="1:17" ht="45" customHeight="1" x14ac:dyDescent="0.25">
      <c r="A27" s="41">
        <v>4</v>
      </c>
      <c r="B27" s="42">
        <f>Dashboard!$C$9+3</f>
        <v>46464</v>
      </c>
      <c r="C27" s="41" t="s">
        <v>132</v>
      </c>
      <c r="D27" s="43" t="s">
        <v>199</v>
      </c>
      <c r="E27" s="43" t="s">
        <v>200</v>
      </c>
      <c r="F27" s="43" t="s">
        <v>177</v>
      </c>
      <c r="G27" s="43" t="s">
        <v>201</v>
      </c>
      <c r="H27" s="43" t="s">
        <v>202</v>
      </c>
      <c r="I27" s="43" t="s">
        <v>111</v>
      </c>
      <c r="J27" s="41" t="s">
        <v>112</v>
      </c>
      <c r="K27" s="44">
        <v>300</v>
      </c>
      <c r="L27" s="45">
        <f t="shared" si="0"/>
        <v>579</v>
      </c>
      <c r="M27" s="41" t="s">
        <v>71</v>
      </c>
      <c r="N27" s="41" t="s">
        <v>66</v>
      </c>
      <c r="O27" s="41" t="s">
        <v>67</v>
      </c>
      <c r="P27" s="43" t="s">
        <v>203</v>
      </c>
      <c r="Q27" s="46" t="str">
        <f t="shared" si="1"/>
        <v>https://www.google.com/maps/search/Shilin+Night+Market</v>
      </c>
    </row>
    <row r="28" spans="1:17" ht="67.5" customHeight="1" x14ac:dyDescent="0.25">
      <c r="A28" s="47">
        <v>5</v>
      </c>
      <c r="B28" s="48">
        <f>Dashboard!$C$9+4</f>
        <v>46465</v>
      </c>
      <c r="C28" s="47" t="s">
        <v>96</v>
      </c>
      <c r="D28" s="49" t="s">
        <v>204</v>
      </c>
      <c r="E28" s="49" t="s">
        <v>205</v>
      </c>
      <c r="F28" s="49" t="s">
        <v>99</v>
      </c>
      <c r="G28" s="49" t="s">
        <v>141</v>
      </c>
      <c r="H28" s="49" t="s">
        <v>92</v>
      </c>
      <c r="I28" s="49" t="s">
        <v>101</v>
      </c>
      <c r="J28" s="47" t="s">
        <v>102</v>
      </c>
      <c r="K28" s="50">
        <v>150</v>
      </c>
      <c r="L28" s="51">
        <f t="shared" si="0"/>
        <v>289.5</v>
      </c>
      <c r="M28" s="47" t="s">
        <v>103</v>
      </c>
      <c r="N28" s="47" t="s">
        <v>66</v>
      </c>
      <c r="O28" s="47" t="s">
        <v>67</v>
      </c>
      <c r="P28" s="49" t="s">
        <v>206</v>
      </c>
      <c r="Q28" s="52" t="str">
        <f t="shared" si="1"/>
        <v>https://www.google.com/maps/search/Hotel+area+breakfast;+pack+for+the+day</v>
      </c>
    </row>
    <row r="29" spans="1:17" ht="67.5" customHeight="1" x14ac:dyDescent="0.25">
      <c r="A29" s="47">
        <v>5</v>
      </c>
      <c r="B29" s="48">
        <f>Dashboard!$C$9+4</f>
        <v>46465</v>
      </c>
      <c r="C29" s="47" t="s">
        <v>207</v>
      </c>
      <c r="D29" s="49" t="s">
        <v>208</v>
      </c>
      <c r="E29" s="49" t="s">
        <v>209</v>
      </c>
      <c r="F29" s="49" t="s">
        <v>99</v>
      </c>
      <c r="G29" s="49" t="s">
        <v>141</v>
      </c>
      <c r="H29" s="49" t="s">
        <v>92</v>
      </c>
      <c r="I29" s="49" t="s">
        <v>64</v>
      </c>
      <c r="J29" s="47" t="s">
        <v>64</v>
      </c>
      <c r="K29" s="50">
        <v>0</v>
      </c>
      <c r="L29" s="51">
        <f t="shared" si="0"/>
        <v>0</v>
      </c>
      <c r="M29" s="47" t="s">
        <v>65</v>
      </c>
      <c r="N29" s="47" t="s">
        <v>66</v>
      </c>
      <c r="O29" s="47" t="s">
        <v>67</v>
      </c>
      <c r="P29" s="49" t="s">
        <v>210</v>
      </c>
      <c r="Q29" s="52" t="str">
        <f t="shared" si="1"/>
        <v>https://www.google.com/maps/search/Hotel+check-out,+store+luggage</v>
      </c>
    </row>
    <row r="30" spans="1:17" ht="75" customHeight="1" x14ac:dyDescent="0.25">
      <c r="A30" s="47">
        <v>5</v>
      </c>
      <c r="B30" s="48">
        <f>Dashboard!$C$9+4</f>
        <v>46465</v>
      </c>
      <c r="C30" s="47" t="s">
        <v>139</v>
      </c>
      <c r="D30" s="49" t="s">
        <v>211</v>
      </c>
      <c r="E30" s="49" t="s">
        <v>212</v>
      </c>
      <c r="F30" s="49" t="s">
        <v>213</v>
      </c>
      <c r="G30" s="49"/>
      <c r="H30" s="49"/>
      <c r="I30" s="49" t="s">
        <v>214</v>
      </c>
      <c r="J30" s="47" t="s">
        <v>215</v>
      </c>
      <c r="K30" s="50">
        <v>2400</v>
      </c>
      <c r="L30" s="51">
        <f t="shared" si="0"/>
        <v>4632</v>
      </c>
      <c r="M30" s="47" t="s">
        <v>65</v>
      </c>
      <c r="N30" s="47" t="s">
        <v>130</v>
      </c>
      <c r="O30" s="47" t="s">
        <v>67</v>
      </c>
      <c r="P30" s="49" t="s">
        <v>216</v>
      </c>
      <c r="Q30" s="52" t="str">
        <f t="shared" si="1"/>
        <v>https://www.google.com/maps/search/Depart+for+Jiufen+&amp;+Shifen</v>
      </c>
    </row>
    <row r="31" spans="1:17" ht="67.5" customHeight="1" x14ac:dyDescent="0.25">
      <c r="A31" s="47">
        <v>5</v>
      </c>
      <c r="B31" s="48">
        <f>Dashboard!$C$9+4</f>
        <v>46465</v>
      </c>
      <c r="C31" s="47" t="s">
        <v>143</v>
      </c>
      <c r="D31" s="49" t="s">
        <v>217</v>
      </c>
      <c r="E31" s="49" t="s">
        <v>218</v>
      </c>
      <c r="F31" s="49" t="s">
        <v>219</v>
      </c>
      <c r="G31" s="49" t="s">
        <v>220</v>
      </c>
      <c r="H31" s="49" t="s">
        <v>221</v>
      </c>
      <c r="I31" s="49" t="s">
        <v>222</v>
      </c>
      <c r="J31" s="47" t="s">
        <v>64</v>
      </c>
      <c r="K31" s="50">
        <v>150</v>
      </c>
      <c r="L31" s="51">
        <f t="shared" si="0"/>
        <v>289.5</v>
      </c>
      <c r="M31" s="47" t="s">
        <v>65</v>
      </c>
      <c r="N31" s="47" t="s">
        <v>66</v>
      </c>
      <c r="O31" s="47" t="s">
        <v>67</v>
      </c>
      <c r="P31" s="49" t="s">
        <v>223</v>
      </c>
      <c r="Q31" s="52" t="str">
        <f t="shared" si="1"/>
        <v>https://www.google.com/maps/search/Shifen+Old+Street+&amp;+Shifen+Waterfall</v>
      </c>
    </row>
    <row r="32" spans="1:17" ht="56.25" customHeight="1" x14ac:dyDescent="0.25">
      <c r="A32" s="47">
        <v>5</v>
      </c>
      <c r="B32" s="48">
        <f>Dashboard!$C$9+4</f>
        <v>46465</v>
      </c>
      <c r="C32" s="47" t="s">
        <v>151</v>
      </c>
      <c r="D32" s="49" t="s">
        <v>115</v>
      </c>
      <c r="E32" s="49" t="s">
        <v>224</v>
      </c>
      <c r="F32" s="49" t="s">
        <v>225</v>
      </c>
      <c r="G32" s="49" t="s">
        <v>226</v>
      </c>
      <c r="H32" s="49" t="s">
        <v>227</v>
      </c>
      <c r="I32" s="49" t="s">
        <v>101</v>
      </c>
      <c r="J32" s="47" t="s">
        <v>64</v>
      </c>
      <c r="K32" s="50">
        <v>250</v>
      </c>
      <c r="L32" s="51">
        <f t="shared" si="0"/>
        <v>482.5</v>
      </c>
      <c r="M32" s="47" t="s">
        <v>115</v>
      </c>
      <c r="N32" s="47" t="s">
        <v>66</v>
      </c>
      <c r="O32" s="47" t="s">
        <v>67</v>
      </c>
      <c r="P32" s="49" t="s">
        <v>228</v>
      </c>
      <c r="Q32" s="52" t="str">
        <f t="shared" si="1"/>
        <v>https://www.google.com/maps/search/Shifen+Old+Street+eatery</v>
      </c>
    </row>
    <row r="33" spans="1:17" ht="45" customHeight="1" x14ac:dyDescent="0.25">
      <c r="A33" s="47">
        <v>5</v>
      </c>
      <c r="B33" s="48">
        <f>Dashboard!$C$9+4</f>
        <v>46465</v>
      </c>
      <c r="C33" s="47" t="s">
        <v>120</v>
      </c>
      <c r="D33" s="49" t="s">
        <v>229</v>
      </c>
      <c r="E33" s="49" t="s">
        <v>230</v>
      </c>
      <c r="F33" s="49" t="s">
        <v>231</v>
      </c>
      <c r="G33" s="49" t="s">
        <v>232</v>
      </c>
      <c r="H33" s="49" t="s">
        <v>233</v>
      </c>
      <c r="I33" s="49" t="s">
        <v>234</v>
      </c>
      <c r="J33" s="47" t="s">
        <v>235</v>
      </c>
      <c r="K33" s="50">
        <v>300</v>
      </c>
      <c r="L33" s="51">
        <f t="shared" si="0"/>
        <v>579</v>
      </c>
      <c r="M33" s="47" t="s">
        <v>65</v>
      </c>
      <c r="N33" s="47" t="s">
        <v>66</v>
      </c>
      <c r="O33" s="47" t="s">
        <v>67</v>
      </c>
      <c r="P33" s="49" t="s">
        <v>236</v>
      </c>
      <c r="Q33" s="52" t="str">
        <f t="shared" si="1"/>
        <v>https://www.google.com/maps/search/Jiufen+Old+Street</v>
      </c>
    </row>
    <row r="34" spans="1:17" ht="56.25" customHeight="1" x14ac:dyDescent="0.25">
      <c r="A34" s="47">
        <v>5</v>
      </c>
      <c r="B34" s="48">
        <f>Dashboard!$C$9+4</f>
        <v>46465</v>
      </c>
      <c r="C34" s="47" t="s">
        <v>237</v>
      </c>
      <c r="D34" s="49" t="s">
        <v>238</v>
      </c>
      <c r="E34" s="49" t="s">
        <v>239</v>
      </c>
      <c r="F34" s="49" t="s">
        <v>240</v>
      </c>
      <c r="G34" s="49" t="s">
        <v>230</v>
      </c>
      <c r="H34" s="49"/>
      <c r="I34" s="49" t="s">
        <v>101</v>
      </c>
      <c r="J34" s="47" t="s">
        <v>64</v>
      </c>
      <c r="K34" s="50">
        <v>0</v>
      </c>
      <c r="L34" s="51">
        <f t="shared" si="0"/>
        <v>0</v>
      </c>
      <c r="M34" s="47" t="s">
        <v>65</v>
      </c>
      <c r="N34" s="47" t="s">
        <v>66</v>
      </c>
      <c r="O34" s="47" t="s">
        <v>67</v>
      </c>
      <c r="P34" s="49" t="s">
        <v>241</v>
      </c>
      <c r="Q34" s="52" t="str">
        <f t="shared" si="1"/>
        <v>https://www.google.com/maps/search/Jiufen+Teahouse+Lookout</v>
      </c>
    </row>
    <row r="35" spans="1:17" ht="67.5" customHeight="1" x14ac:dyDescent="0.25">
      <c r="A35" s="47">
        <v>5</v>
      </c>
      <c r="B35" s="48">
        <f>Dashboard!$C$9+4</f>
        <v>46465</v>
      </c>
      <c r="C35" s="47" t="s">
        <v>57</v>
      </c>
      <c r="D35" s="49" t="s">
        <v>242</v>
      </c>
      <c r="E35" s="49" t="s">
        <v>243</v>
      </c>
      <c r="F35" s="49" t="s">
        <v>244</v>
      </c>
      <c r="G35" s="49"/>
      <c r="H35" s="49"/>
      <c r="I35" s="49" t="s">
        <v>234</v>
      </c>
      <c r="J35" s="47" t="s">
        <v>215</v>
      </c>
      <c r="K35" s="50">
        <v>300</v>
      </c>
      <c r="L35" s="51">
        <f t="shared" si="0"/>
        <v>579</v>
      </c>
      <c r="M35" s="47" t="s">
        <v>71</v>
      </c>
      <c r="N35" s="47" t="s">
        <v>66</v>
      </c>
      <c r="O35" s="47" t="s">
        <v>67</v>
      </c>
      <c r="P35" s="49" t="s">
        <v>245</v>
      </c>
      <c r="Q35" s="52" t="str">
        <f t="shared" si="1"/>
        <v>https://www.google.com/maps/search/Dinner+in+Jiufen,+then+return+to+Taipei</v>
      </c>
    </row>
    <row r="36" spans="1:17" ht="75" customHeight="1" x14ac:dyDescent="0.25">
      <c r="A36" s="47">
        <v>5</v>
      </c>
      <c r="B36" s="48">
        <f>Dashboard!$C$9+4</f>
        <v>46465</v>
      </c>
      <c r="C36" s="47" t="s">
        <v>246</v>
      </c>
      <c r="D36" s="49" t="s">
        <v>247</v>
      </c>
      <c r="E36" s="49" t="s">
        <v>248</v>
      </c>
      <c r="F36" s="49" t="s">
        <v>249</v>
      </c>
      <c r="G36" s="49"/>
      <c r="H36" s="49" t="s">
        <v>92</v>
      </c>
      <c r="I36" s="49" t="s">
        <v>250</v>
      </c>
      <c r="J36" s="47" t="s">
        <v>251</v>
      </c>
      <c r="K36" s="50">
        <v>320</v>
      </c>
      <c r="L36" s="51">
        <f t="shared" si="0"/>
        <v>617.6</v>
      </c>
      <c r="M36" s="47" t="s">
        <v>65</v>
      </c>
      <c r="N36" s="47" t="s">
        <v>66</v>
      </c>
      <c r="O36" s="47" t="s">
        <v>67</v>
      </c>
      <c r="P36" s="49" t="s">
        <v>252</v>
      </c>
      <c r="Q36" s="52" t="str">
        <f t="shared" si="1"/>
        <v>https://www.google.com/maps/search/Hotel+(Zhongshan)+→+Taoyuan+Airport</v>
      </c>
    </row>
    <row r="37" spans="1:17" ht="60" customHeight="1" x14ac:dyDescent="0.25">
      <c r="A37" s="53">
        <v>6</v>
      </c>
      <c r="B37" s="54">
        <f>Dashboard!$C$9+5</f>
        <v>46466</v>
      </c>
      <c r="C37" s="53" t="s">
        <v>253</v>
      </c>
      <c r="D37" s="55" t="s">
        <v>70</v>
      </c>
      <c r="E37" s="55" t="s">
        <v>83</v>
      </c>
      <c r="F37" s="55" t="s">
        <v>76</v>
      </c>
      <c r="G37" s="55" t="s">
        <v>84</v>
      </c>
      <c r="H37" s="55" t="s">
        <v>85</v>
      </c>
      <c r="I37" s="55" t="s">
        <v>64</v>
      </c>
      <c r="J37" s="53" t="s">
        <v>64</v>
      </c>
      <c r="K37" s="56">
        <v>0</v>
      </c>
      <c r="L37" s="57">
        <f t="shared" si="0"/>
        <v>0</v>
      </c>
      <c r="M37" s="53" t="s">
        <v>65</v>
      </c>
      <c r="N37" s="53" t="s">
        <v>66</v>
      </c>
      <c r="O37" s="53" t="s">
        <v>67</v>
      </c>
      <c r="P37" s="55" t="s">
        <v>254</v>
      </c>
      <c r="Q37" s="58" t="str">
        <f t="shared" si="1"/>
        <v>https://www.google.com/maps/search/Taoyuan+International+Airport+(TPE)</v>
      </c>
    </row>
    <row r="38" spans="1:17" ht="90" customHeight="1" x14ac:dyDescent="0.25">
      <c r="A38" s="53">
        <v>6</v>
      </c>
      <c r="B38" s="54">
        <f>Dashboard!$C$9+5</f>
        <v>46466</v>
      </c>
      <c r="C38" s="53" t="s">
        <v>255</v>
      </c>
      <c r="D38" s="55" t="s">
        <v>256</v>
      </c>
      <c r="E38" s="55" t="s">
        <v>257</v>
      </c>
      <c r="F38" s="55" t="s">
        <v>76</v>
      </c>
      <c r="G38" s="55" t="s">
        <v>84</v>
      </c>
      <c r="H38" s="55"/>
      <c r="I38" s="55" t="s">
        <v>77</v>
      </c>
      <c r="J38" s="53" t="s">
        <v>258</v>
      </c>
      <c r="K38" s="56">
        <v>0</v>
      </c>
      <c r="L38" s="57">
        <f t="shared" si="0"/>
        <v>0</v>
      </c>
      <c r="M38" s="53" t="s">
        <v>65</v>
      </c>
      <c r="N38" s="53" t="s">
        <v>79</v>
      </c>
      <c r="O38" s="53" t="s">
        <v>67</v>
      </c>
      <c r="P38" s="55" t="s">
        <v>259</v>
      </c>
      <c r="Q38" s="58" t="str">
        <f t="shared" si="1"/>
        <v>https://www.google.com/maps/search/Cebu+Pacific+TPE+→+MNL</v>
      </c>
    </row>
  </sheetData>
  <autoFilter ref="A4:Q38" xr:uid="{00000000-0009-0000-0000-000001000000}"/>
  <mergeCells count="2">
    <mergeCell ref="A1:Q1"/>
    <mergeCell ref="A2:Q2"/>
  </mergeCells>
  <conditionalFormatting sqref="A5:Q38">
    <cfRule type="expression" dxfId="28" priority="5">
      <formula>$O5="Done"</formula>
    </cfRule>
    <cfRule type="expression" dxfId="27" priority="6">
      <formula>$O5="Confirmed"</formula>
    </cfRule>
  </conditionalFormatting>
  <conditionalFormatting sqref="O5:O38">
    <cfRule type="expression" dxfId="26" priority="2">
      <formula>OR(O5="Done",O5="Confirmed")</formula>
    </cfRule>
    <cfRule type="expression" dxfId="25" priority="3">
      <formula>OR(O5="In Progress",O5="Pending",O5="Not Started")</formula>
    </cfRule>
    <cfRule type="expression" dxfId="24" priority="4">
      <formula>OR(O5="Cancelled",O5="Urgent",O5="Overdue")</formula>
    </cfRule>
  </conditionalFormatting>
  <dataValidations count="3">
    <dataValidation type="list" allowBlank="1" sqref="N5:N38" xr:uid="{00000000-0002-0000-0100-000000000000}">
      <formula1>"Required,Not Required,Recommended"</formula1>
      <formula2>0</formula2>
    </dataValidation>
    <dataValidation type="list" allowBlank="1" sqref="O5:O38" xr:uid="{00000000-0002-0000-0100-000001000000}">
      <formula1>"Not Started,In Progress,Done,Confirmed,Cancelled"</formula1>
      <formula2>0</formula2>
    </dataValidation>
    <dataValidation type="list" allowBlank="1" sqref="M5:M38" xr:uid="{00000000-0002-0000-0100-000002000000}">
      <formula1>"Breakfast,Lunch,Dinner,Snack,None"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102E"/>
    <pageSetUpPr fitToPage="1"/>
  </sheetPr>
  <dimension ref="A1:L30"/>
  <sheetViews>
    <sheetView showGridLines="0" zoomScale="90" zoomScaleNormal="90" workbookViewId="0">
      <pane ySplit="4" topLeftCell="A5" activePane="bottomLeft" state="frozen"/>
      <selection pane="bottomLeft" activeCell="E5" sqref="E5"/>
    </sheetView>
  </sheetViews>
  <sheetFormatPr defaultColWidth="8.7109375" defaultRowHeight="15" x14ac:dyDescent="0.25"/>
  <cols>
    <col min="1" max="1" width="26" customWidth="1"/>
    <col min="2" max="2" width="12" customWidth="1"/>
    <col min="3" max="4" width="13" customWidth="1"/>
    <col min="5" max="5" width="10" customWidth="1"/>
    <col min="6" max="6" width="13" customWidth="1"/>
    <col min="7" max="7" width="18" customWidth="1"/>
    <col min="8" max="9" width="10" customWidth="1"/>
    <col min="10" max="10" width="24" customWidth="1"/>
    <col min="11" max="11" width="13" customWidth="1"/>
    <col min="12" max="12" width="34.140625" customWidth="1"/>
  </cols>
  <sheetData>
    <row r="1" spans="1:12" ht="27.75" customHeight="1" x14ac:dyDescent="0.25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5">
      <c r="A2" s="82" t="s">
        <v>261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4" spans="1:12" ht="30" customHeight="1" x14ac:dyDescent="0.25">
      <c r="A4" s="17" t="s">
        <v>262</v>
      </c>
      <c r="B4" s="17" t="s">
        <v>263</v>
      </c>
      <c r="C4" s="17" t="s">
        <v>35</v>
      </c>
      <c r="D4" s="17" t="s">
        <v>264</v>
      </c>
      <c r="E4" s="17" t="s">
        <v>265</v>
      </c>
      <c r="F4" s="17" t="s">
        <v>266</v>
      </c>
      <c r="G4" s="17" t="s">
        <v>267</v>
      </c>
      <c r="H4" s="17" t="s">
        <v>268</v>
      </c>
      <c r="I4" s="17" t="s">
        <v>269</v>
      </c>
      <c r="J4" s="17" t="s">
        <v>270</v>
      </c>
      <c r="K4" s="17" t="s">
        <v>271</v>
      </c>
      <c r="L4" s="17" t="s">
        <v>36</v>
      </c>
    </row>
    <row r="5" spans="1:12" ht="45" customHeight="1" x14ac:dyDescent="0.25">
      <c r="A5" s="18" t="s">
        <v>272</v>
      </c>
      <c r="B5" s="22" t="s">
        <v>273</v>
      </c>
      <c r="C5" s="22" t="s">
        <v>274</v>
      </c>
      <c r="D5" s="20">
        <f>Dashboard!$C$9-90</f>
        <v>46371</v>
      </c>
      <c r="E5" s="59">
        <v>0</v>
      </c>
      <c r="F5" s="22"/>
      <c r="G5" s="19"/>
      <c r="H5" s="22" t="s">
        <v>275</v>
      </c>
      <c r="I5" s="22" t="s">
        <v>275</v>
      </c>
      <c r="J5" s="19" t="s">
        <v>276</v>
      </c>
      <c r="K5" s="20">
        <v>46254</v>
      </c>
      <c r="L5" s="19" t="s">
        <v>277</v>
      </c>
    </row>
    <row r="6" spans="1:12" ht="30" customHeight="1" x14ac:dyDescent="0.25">
      <c r="A6" s="18" t="s">
        <v>278</v>
      </c>
      <c r="B6" s="22" t="s">
        <v>273</v>
      </c>
      <c r="C6" s="22" t="s">
        <v>67</v>
      </c>
      <c r="D6" s="20">
        <f>Dashboard!$C$9-90</f>
        <v>46371</v>
      </c>
      <c r="E6" s="59">
        <v>0</v>
      </c>
      <c r="F6" s="22"/>
      <c r="G6" s="19"/>
      <c r="H6" s="22" t="s">
        <v>275</v>
      </c>
      <c r="I6" s="22" t="s">
        <v>275</v>
      </c>
      <c r="J6" s="19" t="s">
        <v>279</v>
      </c>
      <c r="K6" s="20">
        <v>46254</v>
      </c>
      <c r="L6" s="19" t="s">
        <v>280</v>
      </c>
    </row>
    <row r="7" spans="1:12" ht="90" customHeight="1" x14ac:dyDescent="0.25">
      <c r="A7" s="18" t="s">
        <v>281</v>
      </c>
      <c r="B7" s="22" t="s">
        <v>282</v>
      </c>
      <c r="C7" s="22" t="s">
        <v>67</v>
      </c>
      <c r="D7" s="20">
        <f>Dashboard!$C$9-60</f>
        <v>46401</v>
      </c>
      <c r="E7" s="59">
        <v>0</v>
      </c>
      <c r="F7" s="22"/>
      <c r="G7" s="19"/>
      <c r="H7" s="22" t="s">
        <v>275</v>
      </c>
      <c r="I7" s="22" t="s">
        <v>275</v>
      </c>
      <c r="J7" s="19" t="s">
        <v>279</v>
      </c>
      <c r="K7" s="20">
        <v>46254</v>
      </c>
      <c r="L7" s="19" t="s">
        <v>283</v>
      </c>
    </row>
    <row r="8" spans="1:12" ht="45" customHeight="1" x14ac:dyDescent="0.25">
      <c r="A8" s="18" t="s">
        <v>284</v>
      </c>
      <c r="B8" s="22" t="s">
        <v>273</v>
      </c>
      <c r="C8" s="22" t="s">
        <v>67</v>
      </c>
      <c r="D8" s="20">
        <f>Dashboard!$C$9-30</f>
        <v>46431</v>
      </c>
      <c r="E8" s="59">
        <v>0</v>
      </c>
      <c r="F8" s="22"/>
      <c r="G8" s="19"/>
      <c r="H8" s="22" t="s">
        <v>275</v>
      </c>
      <c r="I8" s="22" t="s">
        <v>275</v>
      </c>
      <c r="J8" s="19" t="s">
        <v>285</v>
      </c>
      <c r="K8" s="20">
        <v>46254</v>
      </c>
      <c r="L8" s="19" t="s">
        <v>286</v>
      </c>
    </row>
    <row r="9" spans="1:12" ht="75" customHeight="1" x14ac:dyDescent="0.25">
      <c r="A9" s="18" t="s">
        <v>287</v>
      </c>
      <c r="B9" s="22" t="s">
        <v>273</v>
      </c>
      <c r="C9" s="22" t="s">
        <v>67</v>
      </c>
      <c r="D9" s="20">
        <f>Dashboard!$C$9-1</f>
        <v>46460</v>
      </c>
      <c r="E9" s="59">
        <v>0</v>
      </c>
      <c r="F9" s="22"/>
      <c r="G9" s="19"/>
      <c r="H9" s="22" t="s">
        <v>275</v>
      </c>
      <c r="I9" s="22" t="s">
        <v>275</v>
      </c>
      <c r="J9" s="19" t="s">
        <v>288</v>
      </c>
      <c r="K9" s="20">
        <v>46254</v>
      </c>
      <c r="L9" s="19" t="s">
        <v>289</v>
      </c>
    </row>
    <row r="10" spans="1:12" ht="30" customHeight="1" x14ac:dyDescent="0.25">
      <c r="A10" s="18" t="s">
        <v>290</v>
      </c>
      <c r="B10" s="22" t="s">
        <v>273</v>
      </c>
      <c r="C10" s="22" t="s">
        <v>67</v>
      </c>
      <c r="D10" s="20">
        <f>Dashboard!$C$9-45</f>
        <v>46416</v>
      </c>
      <c r="E10" s="22" t="s">
        <v>64</v>
      </c>
      <c r="F10" s="22"/>
      <c r="G10" s="19"/>
      <c r="H10" s="22" t="s">
        <v>275</v>
      </c>
      <c r="I10" s="22" t="s">
        <v>275</v>
      </c>
      <c r="J10" s="19" t="s">
        <v>291</v>
      </c>
      <c r="K10" s="20">
        <v>46254</v>
      </c>
      <c r="L10" s="19" t="s">
        <v>292</v>
      </c>
    </row>
    <row r="11" spans="1:12" ht="30" customHeight="1" x14ac:dyDescent="0.25">
      <c r="A11" s="18" t="s">
        <v>293</v>
      </c>
      <c r="B11" s="22" t="s">
        <v>273</v>
      </c>
      <c r="C11" s="22" t="s">
        <v>67</v>
      </c>
      <c r="D11" s="20">
        <f>Dashboard!$C$9-30</f>
        <v>46431</v>
      </c>
      <c r="E11" s="22" t="s">
        <v>64</v>
      </c>
      <c r="F11" s="22"/>
      <c r="G11" s="19"/>
      <c r="H11" s="22" t="s">
        <v>275</v>
      </c>
      <c r="I11" s="22" t="s">
        <v>275</v>
      </c>
      <c r="J11" s="19" t="s">
        <v>294</v>
      </c>
      <c r="K11" s="20">
        <v>46254</v>
      </c>
      <c r="L11" s="19" t="s">
        <v>295</v>
      </c>
    </row>
    <row r="12" spans="1:12" ht="60" customHeight="1" x14ac:dyDescent="0.25">
      <c r="A12" s="18" t="s">
        <v>296</v>
      </c>
      <c r="B12" s="22" t="s">
        <v>149</v>
      </c>
      <c r="C12" s="22" t="s">
        <v>67</v>
      </c>
      <c r="D12" s="20">
        <f>Dashboard!$C$9-30</f>
        <v>46431</v>
      </c>
      <c r="E12" s="22" t="s">
        <v>64</v>
      </c>
      <c r="F12" s="22"/>
      <c r="G12" s="19"/>
      <c r="H12" s="22" t="s">
        <v>275</v>
      </c>
      <c r="I12" s="22" t="s">
        <v>275</v>
      </c>
      <c r="J12" s="19" t="s">
        <v>297</v>
      </c>
      <c r="K12" s="20">
        <v>46254</v>
      </c>
      <c r="L12" s="19" t="s">
        <v>298</v>
      </c>
    </row>
    <row r="13" spans="1:12" ht="30" customHeight="1" x14ac:dyDescent="0.25">
      <c r="A13" s="18" t="s">
        <v>299</v>
      </c>
      <c r="B13" s="22" t="s">
        <v>300</v>
      </c>
      <c r="C13" s="22" t="s">
        <v>67</v>
      </c>
      <c r="D13" s="20">
        <f>Dashboard!$C$9-1</f>
        <v>46460</v>
      </c>
      <c r="E13" s="22" t="s">
        <v>64</v>
      </c>
      <c r="F13" s="22"/>
      <c r="G13" s="19"/>
      <c r="H13" s="22" t="s">
        <v>275</v>
      </c>
      <c r="I13" s="22" t="s">
        <v>275</v>
      </c>
      <c r="J13" s="19" t="s">
        <v>301</v>
      </c>
      <c r="K13" s="20">
        <v>46254</v>
      </c>
      <c r="L13" s="19" t="s">
        <v>302</v>
      </c>
    </row>
    <row r="14" spans="1:12" ht="30" customHeight="1" x14ac:dyDescent="0.25">
      <c r="A14" s="18" t="s">
        <v>303</v>
      </c>
      <c r="B14" s="22" t="s">
        <v>273</v>
      </c>
      <c r="C14" s="22" t="s">
        <v>67</v>
      </c>
      <c r="D14" s="20">
        <f>Dashboard!$C$9-1</f>
        <v>46460</v>
      </c>
      <c r="E14" s="22" t="s">
        <v>64</v>
      </c>
      <c r="F14" s="22"/>
      <c r="G14" s="19"/>
      <c r="H14" s="22" t="s">
        <v>275</v>
      </c>
      <c r="I14" s="22" t="s">
        <v>275</v>
      </c>
      <c r="J14" s="19" t="s">
        <v>291</v>
      </c>
      <c r="K14" s="20">
        <v>46254</v>
      </c>
      <c r="L14" s="19" t="s">
        <v>304</v>
      </c>
    </row>
    <row r="15" spans="1:12" ht="45" customHeight="1" x14ac:dyDescent="0.25">
      <c r="A15" s="18" t="s">
        <v>305</v>
      </c>
      <c r="B15" s="22" t="s">
        <v>273</v>
      </c>
      <c r="C15" s="22" t="s">
        <v>67</v>
      </c>
      <c r="D15" s="20">
        <f>Dashboard!$C$9-1</f>
        <v>46460</v>
      </c>
      <c r="E15" s="22" t="s">
        <v>64</v>
      </c>
      <c r="F15" s="22"/>
      <c r="G15" s="19"/>
      <c r="H15" s="22" t="s">
        <v>275</v>
      </c>
      <c r="I15" s="22" t="s">
        <v>275</v>
      </c>
      <c r="J15" s="19" t="s">
        <v>285</v>
      </c>
      <c r="K15" s="20">
        <v>46254</v>
      </c>
      <c r="L15" s="19" t="s">
        <v>306</v>
      </c>
    </row>
    <row r="16" spans="1:12" ht="30" customHeight="1" x14ac:dyDescent="0.25">
      <c r="A16" s="18" t="s">
        <v>307</v>
      </c>
      <c r="B16" s="22" t="s">
        <v>149</v>
      </c>
      <c r="C16" s="22" t="s">
        <v>67</v>
      </c>
      <c r="D16" s="20">
        <f>Dashboard!$C$9-14</f>
        <v>46447</v>
      </c>
      <c r="E16" s="22" t="s">
        <v>64</v>
      </c>
      <c r="F16" s="22"/>
      <c r="G16" s="19"/>
      <c r="H16" s="22" t="s">
        <v>275</v>
      </c>
      <c r="I16" s="22" t="s">
        <v>275</v>
      </c>
      <c r="J16" s="19" t="s">
        <v>308</v>
      </c>
      <c r="K16" s="20">
        <v>46254</v>
      </c>
      <c r="L16" s="19" t="s">
        <v>309</v>
      </c>
    </row>
    <row r="17" spans="1:12" ht="30" customHeight="1" x14ac:dyDescent="0.25">
      <c r="A17" s="18" t="s">
        <v>310</v>
      </c>
      <c r="B17" s="22" t="s">
        <v>149</v>
      </c>
      <c r="C17" s="22" t="s">
        <v>67</v>
      </c>
      <c r="D17" s="20">
        <f>Dashboard!$C$9-14</f>
        <v>46447</v>
      </c>
      <c r="E17" s="22" t="s">
        <v>64</v>
      </c>
      <c r="F17" s="22"/>
      <c r="G17" s="19"/>
      <c r="H17" s="22" t="s">
        <v>275</v>
      </c>
      <c r="I17" s="22" t="s">
        <v>275</v>
      </c>
      <c r="J17" s="19" t="s">
        <v>311</v>
      </c>
      <c r="K17" s="20">
        <v>46254</v>
      </c>
      <c r="L17" s="19" t="s">
        <v>312</v>
      </c>
    </row>
    <row r="18" spans="1:12" ht="45" customHeight="1" x14ac:dyDescent="0.25">
      <c r="A18" s="18" t="s">
        <v>313</v>
      </c>
      <c r="B18" s="22" t="s">
        <v>149</v>
      </c>
      <c r="C18" s="22" t="s">
        <v>67</v>
      </c>
      <c r="D18" s="20">
        <f>Dashboard!$C$9-7</f>
        <v>46454</v>
      </c>
      <c r="E18" s="22" t="s">
        <v>64</v>
      </c>
      <c r="F18" s="22"/>
      <c r="G18" s="19"/>
      <c r="H18" s="22" t="s">
        <v>275</v>
      </c>
      <c r="I18" s="22" t="s">
        <v>275</v>
      </c>
      <c r="J18" s="19" t="s">
        <v>308</v>
      </c>
      <c r="K18" s="20">
        <v>46254</v>
      </c>
      <c r="L18" s="19" t="s">
        <v>314</v>
      </c>
    </row>
    <row r="20" spans="1:12" ht="15.75" customHeight="1" x14ac:dyDescent="0.25">
      <c r="A20" s="82" t="s">
        <v>315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</row>
    <row r="21" spans="1:12" ht="15" customHeight="1" x14ac:dyDescent="0.25">
      <c r="A21" s="12" t="s">
        <v>316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21.75" customHeight="1" x14ac:dyDescent="0.25">
      <c r="A22" s="17" t="s">
        <v>317</v>
      </c>
      <c r="B22" s="17" t="s">
        <v>318</v>
      </c>
      <c r="C22" s="83" t="s">
        <v>36</v>
      </c>
      <c r="D22" s="83"/>
      <c r="E22" s="83"/>
      <c r="F22" s="83"/>
      <c r="G22" s="83"/>
      <c r="H22" s="83"/>
      <c r="I22" s="83"/>
      <c r="J22" s="83"/>
      <c r="K22" s="83"/>
      <c r="L22" s="83"/>
    </row>
    <row r="23" spans="1:12" ht="27.75" customHeight="1" x14ac:dyDescent="0.25">
      <c r="A23" s="18" t="s">
        <v>319</v>
      </c>
      <c r="B23" s="60" t="s">
        <v>320</v>
      </c>
      <c r="C23" s="4" t="s">
        <v>321</v>
      </c>
      <c r="D23" s="4"/>
      <c r="E23" s="4"/>
      <c r="F23" s="4"/>
      <c r="G23" s="4"/>
      <c r="H23" s="4"/>
      <c r="I23" s="4"/>
      <c r="J23" s="4"/>
      <c r="K23" s="4"/>
      <c r="L23" s="4"/>
    </row>
    <row r="24" spans="1:12" ht="27.75" customHeight="1" x14ac:dyDescent="0.25">
      <c r="A24" s="18" t="s">
        <v>322</v>
      </c>
      <c r="B24" s="60" t="s">
        <v>323</v>
      </c>
      <c r="C24" s="4" t="s">
        <v>324</v>
      </c>
      <c r="D24" s="4"/>
      <c r="E24" s="4"/>
      <c r="F24" s="4"/>
      <c r="G24" s="4"/>
      <c r="H24" s="4"/>
      <c r="I24" s="4"/>
      <c r="J24" s="4"/>
      <c r="K24" s="4"/>
      <c r="L24" s="4"/>
    </row>
    <row r="25" spans="1:12" ht="27.75" customHeight="1" x14ac:dyDescent="0.25">
      <c r="A25" s="18" t="s">
        <v>325</v>
      </c>
      <c r="B25" s="60" t="s">
        <v>326</v>
      </c>
      <c r="C25" s="4" t="s">
        <v>327</v>
      </c>
      <c r="D25" s="4"/>
      <c r="E25" s="4"/>
      <c r="F25" s="4"/>
      <c r="G25" s="4"/>
      <c r="H25" s="4"/>
      <c r="I25" s="4"/>
      <c r="J25" s="4"/>
      <c r="K25" s="4"/>
      <c r="L25" s="4"/>
    </row>
    <row r="26" spans="1:12" ht="27.75" customHeight="1" x14ac:dyDescent="0.25">
      <c r="A26" s="18" t="s">
        <v>328</v>
      </c>
      <c r="B26" s="60" t="s">
        <v>329</v>
      </c>
      <c r="C26" s="4" t="s">
        <v>330</v>
      </c>
      <c r="D26" s="4"/>
      <c r="E26" s="4"/>
      <c r="F26" s="4"/>
      <c r="G26" s="4"/>
      <c r="H26" s="4"/>
      <c r="I26" s="4"/>
      <c r="J26" s="4"/>
      <c r="K26" s="4"/>
      <c r="L26" s="4"/>
    </row>
    <row r="27" spans="1:12" ht="27.75" customHeight="1" x14ac:dyDescent="0.25">
      <c r="A27" s="18" t="s">
        <v>331</v>
      </c>
      <c r="B27" s="60" t="s">
        <v>332</v>
      </c>
      <c r="C27" s="4" t="s">
        <v>333</v>
      </c>
      <c r="D27" s="4"/>
      <c r="E27" s="4"/>
      <c r="F27" s="4"/>
      <c r="G27" s="4"/>
      <c r="H27" s="4"/>
      <c r="I27" s="4"/>
      <c r="J27" s="4"/>
      <c r="K27" s="4"/>
      <c r="L27" s="4"/>
    </row>
    <row r="28" spans="1:12" ht="27.75" customHeight="1" x14ac:dyDescent="0.25">
      <c r="A28" s="18" t="s">
        <v>334</v>
      </c>
      <c r="B28" s="60" t="s">
        <v>335</v>
      </c>
      <c r="C28" s="4" t="s">
        <v>336</v>
      </c>
      <c r="D28" s="4"/>
      <c r="E28" s="4"/>
      <c r="F28" s="4"/>
      <c r="G28" s="4"/>
      <c r="H28" s="4"/>
      <c r="I28" s="4"/>
      <c r="J28" s="4"/>
      <c r="K28" s="4"/>
      <c r="L28" s="4"/>
    </row>
    <row r="29" spans="1:12" ht="27.75" customHeight="1" x14ac:dyDescent="0.25">
      <c r="A29" s="18" t="s">
        <v>337</v>
      </c>
      <c r="B29" s="60" t="s">
        <v>338</v>
      </c>
      <c r="C29" s="4" t="s">
        <v>339</v>
      </c>
      <c r="D29" s="4"/>
      <c r="E29" s="4"/>
      <c r="F29" s="4"/>
      <c r="G29" s="4"/>
      <c r="H29" s="4"/>
      <c r="I29" s="4"/>
      <c r="J29" s="4"/>
      <c r="K29" s="4"/>
      <c r="L29" s="4"/>
    </row>
    <row r="30" spans="1:12" ht="27.75" customHeight="1" x14ac:dyDescent="0.25">
      <c r="A30" s="18" t="s">
        <v>340</v>
      </c>
      <c r="B30" s="60" t="s">
        <v>341</v>
      </c>
      <c r="C30" s="4" t="s">
        <v>342</v>
      </c>
      <c r="D30" s="4"/>
      <c r="E30" s="4"/>
      <c r="F30" s="4"/>
      <c r="G30" s="4"/>
      <c r="H30" s="4"/>
      <c r="I30" s="4"/>
      <c r="J30" s="4"/>
      <c r="K30" s="4"/>
      <c r="L30" s="4"/>
    </row>
  </sheetData>
  <autoFilter ref="A4:L18" xr:uid="{00000000-0009-0000-0000-000002000000}"/>
  <mergeCells count="13">
    <mergeCell ref="C28:L28"/>
    <mergeCell ref="C29:L29"/>
    <mergeCell ref="C30:L30"/>
    <mergeCell ref="C23:L23"/>
    <mergeCell ref="C24:L24"/>
    <mergeCell ref="C25:L25"/>
    <mergeCell ref="C26:L26"/>
    <mergeCell ref="C27:L27"/>
    <mergeCell ref="A1:L1"/>
    <mergeCell ref="A2:L2"/>
    <mergeCell ref="A20:L20"/>
    <mergeCell ref="A21:L21"/>
    <mergeCell ref="C22:L22"/>
  </mergeCells>
  <conditionalFormatting sqref="A5:L18">
    <cfRule type="expression" dxfId="23" priority="5">
      <formula>AND($C5&lt;&gt;"Done",$D5&lt;&gt;"",$D5&lt;TODAY())</formula>
    </cfRule>
    <cfRule type="expression" dxfId="22" priority="6">
      <formula>AND($C5&lt;&gt;"Done",$D5&lt;&gt;"",$D5&gt;=TODAY(),$D5&lt;=TODAY()+14)</formula>
    </cfRule>
  </conditionalFormatting>
  <conditionalFormatting sqref="C5:C18">
    <cfRule type="expression" dxfId="21" priority="2">
      <formula>OR(C5="Done",C5="Confirmed")</formula>
    </cfRule>
    <cfRule type="expression" dxfId="20" priority="3">
      <formula>OR(C5="In Progress",C5="Pending",C5="Not Started")</formula>
    </cfRule>
    <cfRule type="expression" dxfId="19" priority="4">
      <formula>OR(C5="Cancelled",C5="Urgent",C5="Overdue")</formula>
    </cfRule>
  </conditionalFormatting>
  <dataValidations count="2">
    <dataValidation type="list" allowBlank="1" sqref="C5:C18" xr:uid="{00000000-0002-0000-0200-000000000000}">
      <formula1>"Not Started,In Progress,Done,Confirmed,Cancelled"</formula1>
      <formula2>0</formula2>
    </dataValidation>
    <dataValidation type="list" allowBlank="1" sqref="H5:I18" xr:uid="{00000000-0002-0000-0200-000001000000}">
      <formula1>"Yes,No"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  <pageSetUpPr fitToPage="1"/>
  </sheetPr>
  <dimension ref="A1:K48"/>
  <sheetViews>
    <sheetView showGridLines="0" tabSelected="1" zoomScale="90" zoomScaleNormal="90" workbookViewId="0">
      <pane ySplit="7" topLeftCell="A8" activePane="bottomLeft" state="frozen"/>
      <selection pane="bottomLeft" activeCell="G9" sqref="G9"/>
    </sheetView>
  </sheetViews>
  <sheetFormatPr defaultColWidth="8.7109375" defaultRowHeight="15" x14ac:dyDescent="0.25"/>
  <cols>
    <col min="1" max="1" width="13" customWidth="1"/>
    <col min="2" max="2" width="16" customWidth="1"/>
    <col min="3" max="3" width="26" customWidth="1"/>
    <col min="4" max="4" width="12" customWidth="1"/>
    <col min="5" max="5" width="11" customWidth="1"/>
    <col min="6" max="6" width="12" customWidth="1"/>
    <col min="7" max="7" width="11" customWidth="1"/>
    <col min="8" max="8" width="8" customWidth="1"/>
    <col min="9" max="9" width="14" customWidth="1"/>
    <col min="10" max="10" width="13.42578125" customWidth="1"/>
    <col min="11" max="11" width="30" customWidth="1"/>
  </cols>
  <sheetData>
    <row r="1" spans="1:11" ht="27.75" customHeight="1" x14ac:dyDescent="0.25">
      <c r="A1" s="3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.75" customHeight="1" x14ac:dyDescent="0.25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3.25" customHeight="1" x14ac:dyDescent="0.25">
      <c r="A4" s="84" t="s">
        <v>345</v>
      </c>
      <c r="B4" s="84"/>
      <c r="C4" s="84"/>
      <c r="D4" s="84" t="s">
        <v>346</v>
      </c>
      <c r="E4" s="84"/>
    </row>
    <row r="5" spans="1:11" ht="18" customHeight="1" x14ac:dyDescent="0.25">
      <c r="A5" s="61" t="s">
        <v>347</v>
      </c>
      <c r="B5" s="62">
        <v>1.93</v>
      </c>
      <c r="C5" s="63" t="s">
        <v>348</v>
      </c>
      <c r="D5" s="64">
        <v>50000</v>
      </c>
      <c r="E5" s="63" t="s">
        <v>349</v>
      </c>
    </row>
    <row r="7" spans="1:11" ht="30" customHeight="1" x14ac:dyDescent="0.25">
      <c r="A7" s="65" t="s">
        <v>33</v>
      </c>
      <c r="B7" s="65" t="s">
        <v>350</v>
      </c>
      <c r="C7" s="65" t="s">
        <v>351</v>
      </c>
      <c r="D7" s="65" t="s">
        <v>352</v>
      </c>
      <c r="E7" s="65" t="s">
        <v>353</v>
      </c>
      <c r="F7" s="65" t="s">
        <v>354</v>
      </c>
      <c r="G7" s="65" t="s">
        <v>355</v>
      </c>
      <c r="H7" s="65" t="s">
        <v>356</v>
      </c>
      <c r="I7" s="65" t="s">
        <v>357</v>
      </c>
      <c r="J7" s="65" t="s">
        <v>358</v>
      </c>
      <c r="K7" s="65" t="s">
        <v>36</v>
      </c>
    </row>
    <row r="8" spans="1:11" ht="45" customHeight="1" x14ac:dyDescent="0.25">
      <c r="A8" s="20">
        <f>Dashboard!$C$9-220</f>
        <v>46241</v>
      </c>
      <c r="B8" s="19" t="s">
        <v>359</v>
      </c>
      <c r="C8" s="19" t="s">
        <v>360</v>
      </c>
      <c r="D8" s="66"/>
      <c r="E8" s="67">
        <v>22319.42</v>
      </c>
      <c r="F8" s="67">
        <v>22319.42</v>
      </c>
      <c r="G8" s="67">
        <f>IF(E8="",0,E8)</f>
        <v>22319.42</v>
      </c>
      <c r="H8" s="22" t="s">
        <v>273</v>
      </c>
      <c r="I8" s="19" t="s">
        <v>361</v>
      </c>
      <c r="J8" s="19" t="s">
        <v>362</v>
      </c>
      <c r="K8" s="19" t="s">
        <v>363</v>
      </c>
    </row>
    <row r="9" spans="1:11" ht="45" customHeight="1" x14ac:dyDescent="0.25">
      <c r="A9" s="20">
        <f>Dashboard!$C$9+1</f>
        <v>46462</v>
      </c>
      <c r="B9" s="19" t="s">
        <v>38</v>
      </c>
      <c r="C9" s="19" t="s">
        <v>364</v>
      </c>
      <c r="D9" s="67">
        <v>3600</v>
      </c>
      <c r="E9" s="68"/>
      <c r="F9" s="67">
        <f>D9*FXRate</f>
        <v>6948</v>
      </c>
      <c r="G9" s="67">
        <f>IF(E9="",0,E9)*FXRate</f>
        <v>0</v>
      </c>
      <c r="H9" s="22" t="s">
        <v>275</v>
      </c>
      <c r="I9" s="19"/>
      <c r="J9" s="19" t="s">
        <v>362</v>
      </c>
      <c r="K9" s="19" t="s">
        <v>365</v>
      </c>
    </row>
    <row r="10" spans="1:11" ht="45" customHeight="1" x14ac:dyDescent="0.25">
      <c r="A10" s="20">
        <f>Dashboard!$C$9-45</f>
        <v>46416</v>
      </c>
      <c r="B10" s="19" t="s">
        <v>296</v>
      </c>
      <c r="C10" s="19" t="s">
        <v>366</v>
      </c>
      <c r="D10" s="66"/>
      <c r="E10" s="68"/>
      <c r="F10" s="67">
        <v>900</v>
      </c>
      <c r="G10" s="67">
        <f>IF(E10="",0,E10)</f>
        <v>0</v>
      </c>
      <c r="H10" s="22" t="s">
        <v>275</v>
      </c>
      <c r="I10" s="19"/>
      <c r="J10" s="19" t="s">
        <v>362</v>
      </c>
      <c r="K10" s="19" t="s">
        <v>367</v>
      </c>
    </row>
    <row r="11" spans="1:11" ht="45" customHeight="1" x14ac:dyDescent="0.25">
      <c r="A11" s="20">
        <f>Dashboard!$C$9</f>
        <v>46461</v>
      </c>
      <c r="B11" s="19" t="s">
        <v>368</v>
      </c>
      <c r="C11" s="19" t="s">
        <v>369</v>
      </c>
      <c r="D11" s="67">
        <v>640</v>
      </c>
      <c r="E11" s="68"/>
      <c r="F11" s="67">
        <f t="shared" ref="F11:F19" si="0">D11*FXRate</f>
        <v>1235.2</v>
      </c>
      <c r="G11" s="67">
        <f t="shared" ref="G11:G19" si="1">IF(E11="",0,E11)*FXRate</f>
        <v>0</v>
      </c>
      <c r="H11" s="22" t="s">
        <v>275</v>
      </c>
      <c r="I11" s="19"/>
      <c r="J11" s="19" t="s">
        <v>362</v>
      </c>
      <c r="K11" s="19" t="s">
        <v>370</v>
      </c>
    </row>
    <row r="12" spans="1:11" ht="45" customHeight="1" x14ac:dyDescent="0.25">
      <c r="A12" s="20">
        <f>Dashboard!$C$9+1</f>
        <v>46462</v>
      </c>
      <c r="B12" s="19" t="s">
        <v>371</v>
      </c>
      <c r="C12" s="19" t="s">
        <v>372</v>
      </c>
      <c r="D12" s="67">
        <v>1000</v>
      </c>
      <c r="E12" s="68"/>
      <c r="F12" s="67">
        <f t="shared" si="0"/>
        <v>1930</v>
      </c>
      <c r="G12" s="67">
        <f t="shared" si="1"/>
        <v>0</v>
      </c>
      <c r="H12" s="22" t="s">
        <v>275</v>
      </c>
      <c r="I12" s="19"/>
      <c r="J12" s="19" t="s">
        <v>362</v>
      </c>
      <c r="K12" s="19" t="s">
        <v>373</v>
      </c>
    </row>
    <row r="13" spans="1:11" ht="45" customHeight="1" x14ac:dyDescent="0.25">
      <c r="A13" s="20">
        <f>Dashboard!$C$9+1</f>
        <v>46462</v>
      </c>
      <c r="B13" s="19" t="s">
        <v>374</v>
      </c>
      <c r="C13" s="19" t="s">
        <v>375</v>
      </c>
      <c r="D13" s="67">
        <v>9600</v>
      </c>
      <c r="E13" s="68"/>
      <c r="F13" s="67">
        <f t="shared" si="0"/>
        <v>18528</v>
      </c>
      <c r="G13" s="67">
        <f t="shared" si="1"/>
        <v>0</v>
      </c>
      <c r="H13" s="22" t="s">
        <v>275</v>
      </c>
      <c r="I13" s="19"/>
      <c r="J13" s="19" t="s">
        <v>362</v>
      </c>
      <c r="K13" s="19" t="s">
        <v>376</v>
      </c>
    </row>
    <row r="14" spans="1:11" ht="45" customHeight="1" x14ac:dyDescent="0.25">
      <c r="A14" s="20">
        <f>Dashboard!$C$9+2</f>
        <v>46463</v>
      </c>
      <c r="B14" s="19" t="s">
        <v>377</v>
      </c>
      <c r="C14" s="19" t="s">
        <v>378</v>
      </c>
      <c r="D14" s="67">
        <v>1200</v>
      </c>
      <c r="E14" s="68"/>
      <c r="F14" s="67">
        <f t="shared" si="0"/>
        <v>2316</v>
      </c>
      <c r="G14" s="67">
        <f t="shared" si="1"/>
        <v>0</v>
      </c>
      <c r="H14" s="22" t="s">
        <v>275</v>
      </c>
      <c r="I14" s="19"/>
      <c r="J14" s="19" t="s">
        <v>362</v>
      </c>
      <c r="K14" s="19" t="s">
        <v>379</v>
      </c>
    </row>
    <row r="15" spans="1:11" ht="45" customHeight="1" x14ac:dyDescent="0.25">
      <c r="A15" s="20">
        <f>Dashboard!$C$9+3</f>
        <v>46464</v>
      </c>
      <c r="B15" s="19" t="s">
        <v>377</v>
      </c>
      <c r="C15" s="19" t="s">
        <v>380</v>
      </c>
      <c r="D15" s="67">
        <v>700</v>
      </c>
      <c r="E15" s="68"/>
      <c r="F15" s="67">
        <f t="shared" si="0"/>
        <v>1351</v>
      </c>
      <c r="G15" s="67">
        <f t="shared" si="1"/>
        <v>0</v>
      </c>
      <c r="H15" s="22" t="s">
        <v>275</v>
      </c>
      <c r="I15" s="19"/>
      <c r="J15" s="19" t="s">
        <v>362</v>
      </c>
      <c r="K15" s="19" t="s">
        <v>381</v>
      </c>
    </row>
    <row r="16" spans="1:11" ht="45" customHeight="1" x14ac:dyDescent="0.25">
      <c r="A16" s="20">
        <f>Dashboard!$C$9+4</f>
        <v>46465</v>
      </c>
      <c r="B16" s="19" t="s">
        <v>382</v>
      </c>
      <c r="C16" s="19" t="s">
        <v>383</v>
      </c>
      <c r="D16" s="67">
        <v>2400</v>
      </c>
      <c r="E16" s="68"/>
      <c r="F16" s="67">
        <f t="shared" si="0"/>
        <v>4632</v>
      </c>
      <c r="G16" s="67">
        <f t="shared" si="1"/>
        <v>0</v>
      </c>
      <c r="H16" s="22" t="s">
        <v>275</v>
      </c>
      <c r="I16" s="19"/>
      <c r="J16" s="19" t="s">
        <v>362</v>
      </c>
      <c r="K16" s="19" t="s">
        <v>384</v>
      </c>
    </row>
    <row r="17" spans="1:11" ht="45" customHeight="1" x14ac:dyDescent="0.25">
      <c r="A17" s="20">
        <f>Dashboard!$C$9</f>
        <v>46461</v>
      </c>
      <c r="B17" s="19" t="s">
        <v>385</v>
      </c>
      <c r="C17" s="19" t="s">
        <v>386</v>
      </c>
      <c r="D17" s="67">
        <v>600</v>
      </c>
      <c r="E17" s="68"/>
      <c r="F17" s="67">
        <f t="shared" si="0"/>
        <v>1158</v>
      </c>
      <c r="G17" s="67">
        <f t="shared" si="1"/>
        <v>0</v>
      </c>
      <c r="H17" s="22" t="s">
        <v>275</v>
      </c>
      <c r="I17" s="19"/>
      <c r="J17" s="19" t="s">
        <v>362</v>
      </c>
      <c r="K17" s="19" t="s">
        <v>387</v>
      </c>
    </row>
    <row r="18" spans="1:11" ht="45" customHeight="1" x14ac:dyDescent="0.25">
      <c r="A18" s="20">
        <f>Dashboard!$C$9+3</f>
        <v>46464</v>
      </c>
      <c r="B18" s="19" t="s">
        <v>388</v>
      </c>
      <c r="C18" s="19" t="s">
        <v>389</v>
      </c>
      <c r="D18" s="67">
        <v>3000</v>
      </c>
      <c r="E18" s="68"/>
      <c r="F18" s="67">
        <f t="shared" si="0"/>
        <v>5790</v>
      </c>
      <c r="G18" s="67">
        <f t="shared" si="1"/>
        <v>0</v>
      </c>
      <c r="H18" s="22" t="s">
        <v>275</v>
      </c>
      <c r="I18" s="19"/>
      <c r="J18" s="19" t="s">
        <v>362</v>
      </c>
      <c r="K18" s="19" t="s">
        <v>390</v>
      </c>
    </row>
    <row r="19" spans="1:11" ht="45" customHeight="1" x14ac:dyDescent="0.25">
      <c r="A19" s="20">
        <f>Dashboard!$C$9+3</f>
        <v>46464</v>
      </c>
      <c r="B19" s="19" t="s">
        <v>391</v>
      </c>
      <c r="C19" s="19" t="s">
        <v>392</v>
      </c>
      <c r="D19" s="67">
        <v>1500</v>
      </c>
      <c r="E19" s="68"/>
      <c r="F19" s="67">
        <f t="shared" si="0"/>
        <v>2895</v>
      </c>
      <c r="G19" s="67">
        <f t="shared" si="1"/>
        <v>0</v>
      </c>
      <c r="H19" s="22" t="s">
        <v>275</v>
      </c>
      <c r="I19" s="19"/>
      <c r="J19" s="19" t="s">
        <v>362</v>
      </c>
      <c r="K19" s="19" t="s">
        <v>393</v>
      </c>
    </row>
    <row r="20" spans="1:11" ht="45" customHeight="1" x14ac:dyDescent="0.25">
      <c r="A20" s="20">
        <f>Dashboard!$C$9</f>
        <v>46461</v>
      </c>
      <c r="B20" s="19" t="s">
        <v>394</v>
      </c>
      <c r="C20" s="19" t="s">
        <v>395</v>
      </c>
      <c r="D20" s="66"/>
      <c r="E20" s="68"/>
      <c r="F20" s="67">
        <v>3000</v>
      </c>
      <c r="G20" s="67">
        <f>IF(E20="",0,E20)</f>
        <v>0</v>
      </c>
      <c r="H20" s="22" t="s">
        <v>275</v>
      </c>
      <c r="I20" s="19"/>
      <c r="J20" s="19" t="s">
        <v>362</v>
      </c>
      <c r="K20" s="19" t="s">
        <v>396</v>
      </c>
    </row>
    <row r="21" spans="1:11" ht="45" customHeight="1" x14ac:dyDescent="0.25">
      <c r="A21" s="20">
        <f>Dashboard!$C$9+2</f>
        <v>46463</v>
      </c>
      <c r="B21" s="19" t="s">
        <v>397</v>
      </c>
      <c r="C21" s="19" t="s">
        <v>398</v>
      </c>
      <c r="D21" s="67">
        <v>1000</v>
      </c>
      <c r="E21" s="68"/>
      <c r="F21" s="67">
        <f>D21*FXRate</f>
        <v>1930</v>
      </c>
      <c r="G21" s="67">
        <f>IF(E21="",0,E21)*FXRate</f>
        <v>0</v>
      </c>
      <c r="H21" s="22" t="s">
        <v>275</v>
      </c>
      <c r="I21" s="19"/>
      <c r="J21" s="19" t="s">
        <v>362</v>
      </c>
      <c r="K21" s="19" t="s">
        <v>399</v>
      </c>
    </row>
    <row r="23" spans="1:11" ht="15.75" customHeight="1" x14ac:dyDescent="0.25">
      <c r="A23" s="11" t="s">
        <v>3</v>
      </c>
      <c r="B23" s="11"/>
      <c r="C23" s="11"/>
      <c r="D23" s="11"/>
      <c r="E23" s="11"/>
    </row>
    <row r="24" spans="1:11" ht="15" customHeight="1" x14ac:dyDescent="0.25">
      <c r="A24" s="85" t="s">
        <v>400</v>
      </c>
      <c r="B24" s="85"/>
      <c r="C24" s="85"/>
      <c r="D24" s="69">
        <f>SUM(D8:D21)</f>
        <v>25240</v>
      </c>
    </row>
    <row r="25" spans="1:11" ht="15" customHeight="1" x14ac:dyDescent="0.25">
      <c r="A25" s="85" t="s">
        <v>401</v>
      </c>
      <c r="B25" s="85"/>
      <c r="C25" s="85"/>
      <c r="D25" s="69">
        <f>SUM(E8:E21)</f>
        <v>22319.42</v>
      </c>
    </row>
    <row r="26" spans="1:11" ht="15" customHeight="1" x14ac:dyDescent="0.25">
      <c r="A26" s="85" t="s">
        <v>402</v>
      </c>
      <c r="B26" s="85"/>
      <c r="C26" s="85"/>
      <c r="D26" s="70">
        <f>SUM(F8:F21)</f>
        <v>74932.62</v>
      </c>
    </row>
    <row r="27" spans="1:11" ht="15" customHeight="1" x14ac:dyDescent="0.25">
      <c r="A27" s="85" t="s">
        <v>403</v>
      </c>
      <c r="B27" s="85"/>
      <c r="C27" s="85"/>
      <c r="D27" s="70">
        <f>SUM(G8:G21)</f>
        <v>22319.42</v>
      </c>
    </row>
    <row r="28" spans="1:11" ht="15" customHeight="1" x14ac:dyDescent="0.25">
      <c r="A28" s="85" t="s">
        <v>404</v>
      </c>
      <c r="B28" s="85"/>
      <c r="C28" s="85"/>
      <c r="D28" s="70">
        <f>SUMIF(H8:H21,"Yes",G8:G21)</f>
        <v>22319.42</v>
      </c>
    </row>
    <row r="29" spans="1:11" ht="15" customHeight="1" x14ac:dyDescent="0.25">
      <c r="A29" s="85" t="s">
        <v>405</v>
      </c>
      <c r="B29" s="85"/>
      <c r="C29" s="85"/>
      <c r="D29" s="70">
        <f>TripBudget-D27</f>
        <v>27680.58</v>
      </c>
    </row>
    <row r="30" spans="1:11" ht="15" customHeight="1" x14ac:dyDescent="0.25">
      <c r="A30" s="85" t="s">
        <v>406</v>
      </c>
      <c r="B30" s="85"/>
      <c r="C30" s="85"/>
      <c r="D30" s="70">
        <f>TripBudget-D26</f>
        <v>-24932.619999999995</v>
      </c>
    </row>
    <row r="31" spans="1:11" ht="15" customHeight="1" x14ac:dyDescent="0.25">
      <c r="A31" s="85" t="s">
        <v>407</v>
      </c>
      <c r="B31" s="85"/>
      <c r="C31" s="85"/>
      <c r="D31" s="70">
        <f>D27-D26</f>
        <v>-52613.2</v>
      </c>
    </row>
    <row r="32" spans="1:11" ht="15" customHeight="1" x14ac:dyDescent="0.25">
      <c r="A32" s="85" t="s">
        <v>408</v>
      </c>
      <c r="B32" s="85"/>
      <c r="C32" s="85"/>
      <c r="D32" s="70">
        <f>IFERROR(D26/Dashboard!$C$12,0)</f>
        <v>37466.31</v>
      </c>
    </row>
    <row r="34" spans="1:9" ht="15.75" customHeight="1" x14ac:dyDescent="0.25">
      <c r="A34" s="11" t="s">
        <v>409</v>
      </c>
      <c r="B34" s="11"/>
      <c r="C34" s="11"/>
      <c r="D34" s="11"/>
      <c r="F34" s="11" t="s">
        <v>410</v>
      </c>
      <c r="G34" s="11"/>
      <c r="H34" s="11"/>
      <c r="I34" s="11"/>
    </row>
    <row r="35" spans="1:9" ht="30" customHeight="1" x14ac:dyDescent="0.25">
      <c r="A35" s="17" t="s">
        <v>350</v>
      </c>
      <c r="B35" s="17" t="s">
        <v>411</v>
      </c>
      <c r="C35" s="17" t="s">
        <v>412</v>
      </c>
      <c r="D35" s="17" t="s">
        <v>413</v>
      </c>
      <c r="F35" s="17" t="s">
        <v>43</v>
      </c>
      <c r="G35" s="17" t="s">
        <v>33</v>
      </c>
      <c r="H35" s="17" t="s">
        <v>414</v>
      </c>
    </row>
    <row r="36" spans="1:9" ht="15" customHeight="1" x14ac:dyDescent="0.25">
      <c r="A36" s="15" t="s">
        <v>359</v>
      </c>
      <c r="B36" s="71">
        <f t="shared" ref="B36:B48" si="2">SUMIF($B$8:$B$21,A36,$F$8:$F$21)</f>
        <v>22319.42</v>
      </c>
      <c r="C36" s="71">
        <f t="shared" ref="C36:C48" si="3">SUMIF($B$8:$B$21,A36,$G$8:$G$21)</f>
        <v>22319.42</v>
      </c>
      <c r="D36" s="72">
        <f t="shared" ref="D36:D48" si="4">IFERROR(B36/$D$26,0)</f>
        <v>0.29785986396845593</v>
      </c>
      <c r="F36" s="73" t="s">
        <v>415</v>
      </c>
      <c r="G36" s="74">
        <f>Dashboard!$C$9+0</f>
        <v>46461</v>
      </c>
      <c r="H36" s="71">
        <f>SUMIF('Master Itinerary'!$B:$B,G36,'Master Itinerary'!$L:$L)</f>
        <v>0</v>
      </c>
    </row>
    <row r="37" spans="1:9" ht="15" customHeight="1" x14ac:dyDescent="0.25">
      <c r="A37" s="15" t="s">
        <v>38</v>
      </c>
      <c r="B37" s="71">
        <f t="shared" si="2"/>
        <v>6948</v>
      </c>
      <c r="C37" s="71">
        <f t="shared" si="3"/>
        <v>0</v>
      </c>
      <c r="D37" s="72">
        <f t="shared" si="4"/>
        <v>9.2723302615069378E-2</v>
      </c>
      <c r="F37" s="73" t="s">
        <v>416</v>
      </c>
      <c r="G37" s="74">
        <f>Dashboard!$C$9+1</f>
        <v>46462</v>
      </c>
      <c r="H37" s="71">
        <f>SUMIF('Master Itinerary'!$B:$B,G37,'Master Itinerary'!$L:$L)</f>
        <v>1370.3</v>
      </c>
    </row>
    <row r="38" spans="1:9" ht="15" customHeight="1" x14ac:dyDescent="0.25">
      <c r="A38" s="15" t="s">
        <v>296</v>
      </c>
      <c r="B38" s="71">
        <f t="shared" si="2"/>
        <v>900</v>
      </c>
      <c r="C38" s="71">
        <f t="shared" si="3"/>
        <v>0</v>
      </c>
      <c r="D38" s="72">
        <f t="shared" si="4"/>
        <v>1.2010790494179972E-2</v>
      </c>
      <c r="F38" s="73" t="s">
        <v>417</v>
      </c>
      <c r="G38" s="74">
        <f>Dashboard!$C$9+2</f>
        <v>46463</v>
      </c>
      <c r="H38" s="71">
        <f>SUMIF('Master Itinerary'!$B:$B,G38,'Master Itinerary'!$L:$L)</f>
        <v>3667</v>
      </c>
    </row>
    <row r="39" spans="1:9" ht="15" customHeight="1" x14ac:dyDescent="0.25">
      <c r="A39" s="15" t="s">
        <v>368</v>
      </c>
      <c r="B39" s="71">
        <f t="shared" si="2"/>
        <v>1235.2</v>
      </c>
      <c r="C39" s="71">
        <f t="shared" si="3"/>
        <v>0</v>
      </c>
      <c r="D39" s="72">
        <f t="shared" si="4"/>
        <v>1.6484142687123445E-2</v>
      </c>
      <c r="F39" s="73" t="s">
        <v>418</v>
      </c>
      <c r="G39" s="74">
        <f>Dashboard!$C$9+3</f>
        <v>46464</v>
      </c>
      <c r="H39" s="71">
        <f>SUMIF('Master Itinerary'!$B:$B,G39,'Master Itinerary'!$L:$L)</f>
        <v>3474</v>
      </c>
    </row>
    <row r="40" spans="1:9" ht="15" customHeight="1" x14ac:dyDescent="0.25">
      <c r="A40" s="15" t="s">
        <v>371</v>
      </c>
      <c r="B40" s="71">
        <f t="shared" si="2"/>
        <v>1930</v>
      </c>
      <c r="C40" s="71">
        <f t="shared" si="3"/>
        <v>0</v>
      </c>
      <c r="D40" s="72">
        <f t="shared" si="4"/>
        <v>2.5756472948630385E-2</v>
      </c>
      <c r="F40" s="73" t="s">
        <v>419</v>
      </c>
      <c r="G40" s="74">
        <f>Dashboard!$C$9+4</f>
        <v>46465</v>
      </c>
      <c r="H40" s="71">
        <f>SUMIF('Master Itinerary'!$B:$B,G40,'Master Itinerary'!$L:$L)</f>
        <v>7469.1</v>
      </c>
    </row>
    <row r="41" spans="1:9" ht="15" customHeight="1" x14ac:dyDescent="0.25">
      <c r="A41" s="15" t="s">
        <v>374</v>
      </c>
      <c r="B41" s="71">
        <f t="shared" si="2"/>
        <v>18528</v>
      </c>
      <c r="C41" s="71">
        <f t="shared" si="3"/>
        <v>0</v>
      </c>
      <c r="D41" s="72">
        <f t="shared" si="4"/>
        <v>0.2472621403068517</v>
      </c>
      <c r="F41" s="73" t="s">
        <v>420</v>
      </c>
      <c r="G41" s="74">
        <f>Dashboard!$C$9+5</f>
        <v>46466</v>
      </c>
      <c r="H41" s="71">
        <f>SUMIF('Master Itinerary'!$B:$B,G41,'Master Itinerary'!$L:$L)</f>
        <v>0</v>
      </c>
    </row>
    <row r="42" spans="1:9" ht="15" customHeight="1" x14ac:dyDescent="0.25">
      <c r="A42" s="15" t="s">
        <v>377</v>
      </c>
      <c r="B42" s="71">
        <f t="shared" si="2"/>
        <v>3667</v>
      </c>
      <c r="C42" s="71">
        <f t="shared" si="3"/>
        <v>0</v>
      </c>
      <c r="D42" s="72">
        <f t="shared" si="4"/>
        <v>4.8937298602397733E-2</v>
      </c>
    </row>
    <row r="43" spans="1:9" ht="15" customHeight="1" x14ac:dyDescent="0.25">
      <c r="A43" s="15" t="s">
        <v>382</v>
      </c>
      <c r="B43" s="71">
        <f t="shared" si="2"/>
        <v>4632</v>
      </c>
      <c r="C43" s="71">
        <f t="shared" si="3"/>
        <v>0</v>
      </c>
      <c r="D43" s="72">
        <f t="shared" si="4"/>
        <v>6.1815535076712926E-2</v>
      </c>
    </row>
    <row r="44" spans="1:9" ht="15" customHeight="1" x14ac:dyDescent="0.25">
      <c r="A44" s="15" t="s">
        <v>385</v>
      </c>
      <c r="B44" s="71">
        <f t="shared" si="2"/>
        <v>1158</v>
      </c>
      <c r="C44" s="71">
        <f t="shared" si="3"/>
        <v>0</v>
      </c>
      <c r="D44" s="72">
        <f t="shared" si="4"/>
        <v>1.5453883769178231E-2</v>
      </c>
    </row>
    <row r="45" spans="1:9" ht="15" customHeight="1" x14ac:dyDescent="0.25">
      <c r="A45" s="15" t="s">
        <v>388</v>
      </c>
      <c r="B45" s="71">
        <f t="shared" si="2"/>
        <v>5790</v>
      </c>
      <c r="C45" s="71">
        <f t="shared" si="3"/>
        <v>0</v>
      </c>
      <c r="D45" s="72">
        <f t="shared" si="4"/>
        <v>7.7269418845891155E-2</v>
      </c>
    </row>
    <row r="46" spans="1:9" ht="15" customHeight="1" x14ac:dyDescent="0.25">
      <c r="A46" s="15" t="s">
        <v>391</v>
      </c>
      <c r="B46" s="71">
        <f t="shared" si="2"/>
        <v>2895</v>
      </c>
      <c r="C46" s="71">
        <f t="shared" si="3"/>
        <v>0</v>
      </c>
      <c r="D46" s="72">
        <f t="shared" si="4"/>
        <v>3.8634709422945578E-2</v>
      </c>
    </row>
    <row r="47" spans="1:9" ht="15" customHeight="1" x14ac:dyDescent="0.25">
      <c r="A47" s="15" t="s">
        <v>394</v>
      </c>
      <c r="B47" s="71">
        <f t="shared" si="2"/>
        <v>3000</v>
      </c>
      <c r="C47" s="71">
        <f t="shared" si="3"/>
        <v>0</v>
      </c>
      <c r="D47" s="72">
        <f t="shared" si="4"/>
        <v>4.0035968313933239E-2</v>
      </c>
    </row>
    <row r="48" spans="1:9" ht="15" customHeight="1" x14ac:dyDescent="0.25">
      <c r="A48" s="15" t="s">
        <v>397</v>
      </c>
      <c r="B48" s="71">
        <f t="shared" si="2"/>
        <v>1930</v>
      </c>
      <c r="C48" s="71">
        <f t="shared" si="3"/>
        <v>0</v>
      </c>
      <c r="D48" s="72">
        <f t="shared" si="4"/>
        <v>2.5756472948630385E-2</v>
      </c>
    </row>
  </sheetData>
  <autoFilter ref="A7:K21" xr:uid="{00000000-0009-0000-0000-000003000000}"/>
  <mergeCells count="16">
    <mergeCell ref="F34:I34"/>
    <mergeCell ref="A29:C29"/>
    <mergeCell ref="A30:C30"/>
    <mergeCell ref="A31:C31"/>
    <mergeCell ref="A32:C32"/>
    <mergeCell ref="A34:D34"/>
    <mergeCell ref="A24:C24"/>
    <mergeCell ref="A25:C25"/>
    <mergeCell ref="A26:C26"/>
    <mergeCell ref="A27:C27"/>
    <mergeCell ref="A28:C28"/>
    <mergeCell ref="A1:K1"/>
    <mergeCell ref="A2:K2"/>
    <mergeCell ref="A4:C4"/>
    <mergeCell ref="D4:E4"/>
    <mergeCell ref="A23:E23"/>
  </mergeCells>
  <conditionalFormatting sqref="A8:K21">
    <cfRule type="expression" dxfId="18" priority="5">
      <formula>$H8="Yes"</formula>
    </cfRule>
  </conditionalFormatting>
  <conditionalFormatting sqref="H8:H21">
    <cfRule type="expression" dxfId="17" priority="2">
      <formula>OR(H8="Done",H8="Confirmed")</formula>
    </cfRule>
    <cfRule type="expression" dxfId="16" priority="3">
      <formula>OR(H8="In Progress",H8="Pending",H8="Not Started")</formula>
    </cfRule>
    <cfRule type="expression" dxfId="15" priority="4">
      <formula>OR(H8="Cancelled",H8="Urgent",H8="Overdue")</formula>
    </cfRule>
  </conditionalFormatting>
  <dataValidations disablePrompts="1" count="2">
    <dataValidation type="list" allowBlank="1" sqref="B8:B21" xr:uid="{00000000-0002-0000-0300-000000000000}">
      <formula1>"Flights,Hotel,Travel insurance,Airport transportation,MRT/local transportation,Food,Attractions,Tours,SIM/eSIM,Shopping,Souvenirs,Emergency fund,Miscellaneous"</formula1>
      <formula2>0</formula2>
    </dataValidation>
    <dataValidation type="list" allowBlank="1" sqref="H8:H21" xr:uid="{00000000-0002-0000-0300-000001000000}">
      <formula1>"Yes,No,Partial"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9C"/>
    <pageSetUpPr fitToPage="1"/>
  </sheetPr>
  <dimension ref="A1:O14"/>
  <sheetViews>
    <sheetView showGridLines="0" zoomScale="90" zoomScaleNormal="90" workbookViewId="0">
      <pane ySplit="4" topLeftCell="A5" activePane="bottomLeft" state="frozen"/>
      <selection pane="bottomLeft" activeCell="N5" sqref="N5"/>
    </sheetView>
  </sheetViews>
  <sheetFormatPr defaultColWidth="8.7109375" defaultRowHeight="15" x14ac:dyDescent="0.25"/>
  <cols>
    <col min="1" max="1" width="22" customWidth="1"/>
    <col min="2" max="2" width="20" customWidth="1"/>
    <col min="3" max="3" width="13" customWidth="1"/>
    <col min="4" max="4" width="9" customWidth="1"/>
    <col min="5" max="5" width="26" customWidth="1"/>
    <col min="6" max="6" width="16" customWidth="1"/>
    <col min="7" max="7" width="10" customWidth="1"/>
    <col min="8" max="8" width="8" customWidth="1"/>
    <col min="9" max="9" width="12" customWidth="1"/>
    <col min="10" max="10" width="8" customWidth="1"/>
    <col min="11" max="12" width="14" customWidth="1"/>
    <col min="13" max="13" width="13" customWidth="1"/>
    <col min="14" max="14" width="20" customWidth="1"/>
    <col min="15" max="15" width="34" customWidth="1"/>
  </cols>
  <sheetData>
    <row r="1" spans="1:15" ht="27.75" customHeight="1" x14ac:dyDescent="0.25">
      <c r="A1" s="3" t="s">
        <v>421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75" customHeight="1" x14ac:dyDescent="0.25">
      <c r="A2" s="2" t="s">
        <v>422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30" customHeight="1" x14ac:dyDescent="0.25">
      <c r="A4" s="65" t="s">
        <v>423</v>
      </c>
      <c r="B4" s="65" t="s">
        <v>424</v>
      </c>
      <c r="C4" s="65" t="s">
        <v>33</v>
      </c>
      <c r="D4" s="65" t="s">
        <v>44</v>
      </c>
      <c r="E4" s="65" t="s">
        <v>425</v>
      </c>
      <c r="F4" s="65" t="s">
        <v>426</v>
      </c>
      <c r="G4" s="65" t="s">
        <v>265</v>
      </c>
      <c r="H4" s="65" t="s">
        <v>427</v>
      </c>
      <c r="I4" s="65" t="s">
        <v>428</v>
      </c>
      <c r="J4" s="65" t="s">
        <v>356</v>
      </c>
      <c r="K4" s="65" t="s">
        <v>429</v>
      </c>
      <c r="L4" s="65" t="s">
        <v>430</v>
      </c>
      <c r="M4" s="65" t="s">
        <v>35</v>
      </c>
      <c r="N4" s="65" t="s">
        <v>431</v>
      </c>
      <c r="O4" s="65" t="s">
        <v>36</v>
      </c>
    </row>
    <row r="5" spans="1:15" ht="30" customHeight="1" x14ac:dyDescent="0.25">
      <c r="A5" s="18" t="s">
        <v>432</v>
      </c>
      <c r="B5" s="75" t="s">
        <v>433</v>
      </c>
      <c r="C5" s="20">
        <f>Dashboard!$C$9</f>
        <v>46461</v>
      </c>
      <c r="D5" s="22" t="s">
        <v>73</v>
      </c>
      <c r="E5" s="19" t="s">
        <v>434</v>
      </c>
      <c r="F5" s="76" t="s">
        <v>435</v>
      </c>
      <c r="G5" s="77">
        <v>8000</v>
      </c>
      <c r="H5" s="22" t="s">
        <v>436</v>
      </c>
      <c r="I5" s="21">
        <f t="shared" ref="I5:I14" si="0">IF(H5="TWD",G5*FXRate,G5)</f>
        <v>8000</v>
      </c>
      <c r="J5" s="22" t="s">
        <v>273</v>
      </c>
      <c r="K5" s="20">
        <f>Dashboard!$C$9-45</f>
        <v>46416</v>
      </c>
      <c r="L5" s="22"/>
      <c r="M5" s="22" t="s">
        <v>79</v>
      </c>
      <c r="N5" s="19"/>
      <c r="O5" s="19" t="s">
        <v>437</v>
      </c>
    </row>
    <row r="6" spans="1:15" ht="30" customHeight="1" x14ac:dyDescent="0.25">
      <c r="A6" s="18" t="s">
        <v>438</v>
      </c>
      <c r="B6" s="75" t="s">
        <v>433</v>
      </c>
      <c r="C6" s="20">
        <f>Dashboard!$C$10</f>
        <v>46466</v>
      </c>
      <c r="D6" s="22" t="s">
        <v>255</v>
      </c>
      <c r="E6" s="19" t="s">
        <v>439</v>
      </c>
      <c r="F6" s="76" t="s">
        <v>435</v>
      </c>
      <c r="G6" s="77">
        <v>8500</v>
      </c>
      <c r="H6" s="22" t="s">
        <v>436</v>
      </c>
      <c r="I6" s="21">
        <f t="shared" si="0"/>
        <v>8500</v>
      </c>
      <c r="J6" s="22" t="s">
        <v>273</v>
      </c>
      <c r="K6" s="20">
        <f>Dashboard!$C$9-45</f>
        <v>46416</v>
      </c>
      <c r="L6" s="22"/>
      <c r="M6" s="22" t="s">
        <v>79</v>
      </c>
      <c r="N6" s="19"/>
      <c r="O6" s="19" t="s">
        <v>440</v>
      </c>
    </row>
    <row r="7" spans="1:15" ht="30" customHeight="1" x14ac:dyDescent="0.25">
      <c r="A7" s="18" t="s">
        <v>38</v>
      </c>
      <c r="B7" s="75" t="s">
        <v>441</v>
      </c>
      <c r="C7" s="20">
        <f>Dashboard!$C$9+1</f>
        <v>46462</v>
      </c>
      <c r="D7" s="22" t="s">
        <v>442</v>
      </c>
      <c r="E7" s="19" t="s">
        <v>443</v>
      </c>
      <c r="F7" s="76" t="s">
        <v>444</v>
      </c>
      <c r="G7" s="77">
        <v>3600</v>
      </c>
      <c r="H7" s="22" t="s">
        <v>445</v>
      </c>
      <c r="I7" s="21">
        <f t="shared" si="0"/>
        <v>6948</v>
      </c>
      <c r="J7" s="22" t="s">
        <v>275</v>
      </c>
      <c r="K7" s="20">
        <f>Dashboard!$C$9-30</f>
        <v>46431</v>
      </c>
      <c r="L7" s="20">
        <f>Dashboard!$C$9-2</f>
        <v>46459</v>
      </c>
      <c r="M7" s="22" t="s">
        <v>67</v>
      </c>
      <c r="N7" s="19"/>
      <c r="O7" s="19" t="str">
        <f>(Dashboard!$C$10-(Dashboard!$C$9+1))&amp;" nights (Mar 16–20) · Twin/Double room · Breakfast included · No 2nd hotel night needed – the 3:15 AM Mar 20 flight departs from the same night's stay"</f>
        <v>4 nights (Mar 16–20) · Twin/Double room · Breakfast included · No 2nd hotel night needed – the 3:15 AM Mar 20 flight departs from the same night's stay</v>
      </c>
    </row>
    <row r="8" spans="1:15" ht="30" customHeight="1" x14ac:dyDescent="0.25">
      <c r="A8" s="18" t="s">
        <v>446</v>
      </c>
      <c r="B8" s="75" t="s">
        <v>447</v>
      </c>
      <c r="C8" s="20">
        <f>Dashboard!$C$9+1</f>
        <v>46462</v>
      </c>
      <c r="D8" s="22" t="s">
        <v>448</v>
      </c>
      <c r="E8" s="19" t="s">
        <v>449</v>
      </c>
      <c r="F8" s="76" t="s">
        <v>62</v>
      </c>
      <c r="G8" s="77">
        <v>1000</v>
      </c>
      <c r="H8" s="22" t="s">
        <v>445</v>
      </c>
      <c r="I8" s="21">
        <f t="shared" si="0"/>
        <v>1930</v>
      </c>
      <c r="J8" s="22" t="s">
        <v>275</v>
      </c>
      <c r="K8" s="22"/>
      <c r="L8" s="22"/>
      <c r="M8" s="22" t="s">
        <v>67</v>
      </c>
      <c r="N8" s="19"/>
      <c r="O8" s="19" t="s">
        <v>450</v>
      </c>
    </row>
    <row r="9" spans="1:15" ht="30" customHeight="1" x14ac:dyDescent="0.25">
      <c r="A9" s="18" t="s">
        <v>451</v>
      </c>
      <c r="B9" s="75" t="s">
        <v>447</v>
      </c>
      <c r="C9" s="20">
        <f>Dashboard!$C$10-1</f>
        <v>46465</v>
      </c>
      <c r="D9" s="22" t="s">
        <v>246</v>
      </c>
      <c r="E9" s="19" t="s">
        <v>452</v>
      </c>
      <c r="F9" s="76" t="s">
        <v>62</v>
      </c>
      <c r="G9" s="77">
        <v>320</v>
      </c>
      <c r="H9" s="22" t="s">
        <v>445</v>
      </c>
      <c r="I9" s="21">
        <f t="shared" si="0"/>
        <v>617.6</v>
      </c>
      <c r="J9" s="22" t="s">
        <v>275</v>
      </c>
      <c r="K9" s="22"/>
      <c r="L9" s="22"/>
      <c r="M9" s="22" t="s">
        <v>67</v>
      </c>
      <c r="N9" s="19"/>
      <c r="O9" s="19" t="s">
        <v>453</v>
      </c>
    </row>
    <row r="10" spans="1:15" ht="30" customHeight="1" x14ac:dyDescent="0.25">
      <c r="A10" s="18" t="s">
        <v>454</v>
      </c>
      <c r="B10" s="75" t="s">
        <v>455</v>
      </c>
      <c r="C10" s="20">
        <f>Dashboard!$C$9+4</f>
        <v>46465</v>
      </c>
      <c r="D10" s="22" t="s">
        <v>139</v>
      </c>
      <c r="E10" s="19" t="s">
        <v>456</v>
      </c>
      <c r="F10" s="76" t="s">
        <v>457</v>
      </c>
      <c r="G10" s="77">
        <v>2400</v>
      </c>
      <c r="H10" s="22" t="s">
        <v>445</v>
      </c>
      <c r="I10" s="21">
        <f t="shared" si="0"/>
        <v>4632</v>
      </c>
      <c r="J10" s="22" t="s">
        <v>275</v>
      </c>
      <c r="K10" s="20">
        <f>Dashboard!$C$9+1</f>
        <v>46462</v>
      </c>
      <c r="L10" s="20">
        <f>Dashboard!$C$9+2</f>
        <v>46463</v>
      </c>
      <c r="M10" s="22" t="s">
        <v>67</v>
      </c>
      <c r="N10" s="19"/>
      <c r="O10" s="19" t="s">
        <v>458</v>
      </c>
    </row>
    <row r="11" spans="1:15" ht="30" customHeight="1" x14ac:dyDescent="0.25">
      <c r="A11" s="18" t="s">
        <v>459</v>
      </c>
      <c r="B11" s="75" t="s">
        <v>460</v>
      </c>
      <c r="C11" s="20">
        <f>Dashboard!$C$9+2</f>
        <v>46463</v>
      </c>
      <c r="D11" s="22" t="s">
        <v>143</v>
      </c>
      <c r="E11" s="19" t="s">
        <v>461</v>
      </c>
      <c r="F11" s="76" t="s">
        <v>462</v>
      </c>
      <c r="G11" s="77">
        <v>1200</v>
      </c>
      <c r="H11" s="22" t="s">
        <v>445</v>
      </c>
      <c r="I11" s="21">
        <f t="shared" si="0"/>
        <v>2316</v>
      </c>
      <c r="J11" s="22" t="s">
        <v>275</v>
      </c>
      <c r="K11" s="22"/>
      <c r="L11" s="22"/>
      <c r="M11" s="22" t="s">
        <v>67</v>
      </c>
      <c r="N11" s="19"/>
      <c r="O11" s="19" t="s">
        <v>463</v>
      </c>
    </row>
    <row r="12" spans="1:15" ht="30" customHeight="1" x14ac:dyDescent="0.25">
      <c r="A12" s="18" t="s">
        <v>464</v>
      </c>
      <c r="B12" s="75" t="s">
        <v>465</v>
      </c>
      <c r="C12" s="20">
        <f>Dashboard!$C$9+3</f>
        <v>46464</v>
      </c>
      <c r="D12" s="22" t="s">
        <v>174</v>
      </c>
      <c r="E12" s="19" t="s">
        <v>466</v>
      </c>
      <c r="F12" s="76" t="s">
        <v>467</v>
      </c>
      <c r="G12" s="77">
        <v>700</v>
      </c>
      <c r="H12" s="22" t="s">
        <v>445</v>
      </c>
      <c r="I12" s="21">
        <f t="shared" si="0"/>
        <v>1351</v>
      </c>
      <c r="J12" s="22" t="s">
        <v>275</v>
      </c>
      <c r="K12" s="22"/>
      <c r="L12" s="22"/>
      <c r="M12" s="22" t="s">
        <v>67</v>
      </c>
      <c r="N12" s="19"/>
      <c r="O12" s="19" t="s">
        <v>468</v>
      </c>
    </row>
    <row r="13" spans="1:15" ht="30" customHeight="1" x14ac:dyDescent="0.25">
      <c r="A13" s="18" t="s">
        <v>469</v>
      </c>
      <c r="B13" s="75" t="s">
        <v>470</v>
      </c>
      <c r="C13" s="20">
        <f>Dashboard!$C$9</f>
        <v>46461</v>
      </c>
      <c r="D13" s="22" t="s">
        <v>62</v>
      </c>
      <c r="E13" s="19" t="s">
        <v>387</v>
      </c>
      <c r="F13" s="76" t="s">
        <v>471</v>
      </c>
      <c r="G13" s="77">
        <v>600</v>
      </c>
      <c r="H13" s="22" t="s">
        <v>445</v>
      </c>
      <c r="I13" s="21">
        <f t="shared" si="0"/>
        <v>1158</v>
      </c>
      <c r="J13" s="22" t="s">
        <v>275</v>
      </c>
      <c r="K13" s="22"/>
      <c r="L13" s="22"/>
      <c r="M13" s="22" t="s">
        <v>67</v>
      </c>
      <c r="N13" s="19"/>
      <c r="O13" s="19" t="s">
        <v>472</v>
      </c>
    </row>
    <row r="14" spans="1:15" ht="30" customHeight="1" x14ac:dyDescent="0.25">
      <c r="A14" s="18" t="s">
        <v>473</v>
      </c>
      <c r="B14" s="75" t="s">
        <v>474</v>
      </c>
      <c r="C14" s="20">
        <f>Dashboard!$C$9+2</f>
        <v>46463</v>
      </c>
      <c r="D14" s="22" t="s">
        <v>166</v>
      </c>
      <c r="E14" s="19" t="s">
        <v>475</v>
      </c>
      <c r="F14" s="76" t="s">
        <v>62</v>
      </c>
      <c r="G14" s="77">
        <v>0</v>
      </c>
      <c r="H14" s="22" t="s">
        <v>445</v>
      </c>
      <c r="I14" s="21">
        <f t="shared" si="0"/>
        <v>0</v>
      </c>
      <c r="J14" s="22" t="s">
        <v>62</v>
      </c>
      <c r="K14" s="22"/>
      <c r="L14" s="22"/>
      <c r="M14" s="22" t="s">
        <v>67</v>
      </c>
      <c r="N14" s="19"/>
      <c r="O14" s="19" t="s">
        <v>476</v>
      </c>
    </row>
  </sheetData>
  <autoFilter ref="A4:O4" xr:uid="{00000000-0009-0000-0000-000004000000}"/>
  <mergeCells count="2">
    <mergeCell ref="A1:O1"/>
    <mergeCell ref="A2:O2"/>
  </mergeCells>
  <conditionalFormatting sqref="A5:O14">
    <cfRule type="expression" dxfId="14" priority="5">
      <formula>$M5="Confirmed"</formula>
    </cfRule>
    <cfRule type="expression" dxfId="13" priority="6">
      <formula>AND($M5&lt;&gt;"Confirmed",$M5&lt;&gt;"Done",$K5&lt;&gt;"",$K5&lt;TODAY())</formula>
    </cfRule>
    <cfRule type="expression" dxfId="12" priority="7">
      <formula>AND($M5&lt;&gt;"Confirmed",$M5&lt;&gt;"Done",$K5&lt;&gt;"",$K5&gt;=TODAY(),$K5&lt;=TODAY()+14)</formula>
    </cfRule>
  </conditionalFormatting>
  <conditionalFormatting sqref="M5:M14">
    <cfRule type="expression" dxfId="11" priority="2">
      <formula>OR(M5="Done",M5="Confirmed")</formula>
    </cfRule>
    <cfRule type="expression" dxfId="10" priority="3">
      <formula>OR(M5="In Progress",M5="Pending",M5="Not Started")</formula>
    </cfRule>
    <cfRule type="expression" dxfId="9" priority="4">
      <formula>OR(M5="Cancelled",M5="Urgent",M5="Overdue")</formula>
    </cfRule>
  </conditionalFormatting>
  <dataValidations count="2">
    <dataValidation type="list" allowBlank="1" sqref="J5:J14" xr:uid="{00000000-0002-0000-0400-000000000000}">
      <formula1>"Yes,No,Partial,N/A"</formula1>
      <formula2>0</formula2>
    </dataValidation>
    <dataValidation type="list" allowBlank="1" sqref="M5:M14" xr:uid="{00000000-0002-0000-0400-000001000000}">
      <formula1>"Not Started,In Progress,Done,Confirmed,Cancelled"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5CC0"/>
    <pageSetUpPr fitToPage="1"/>
  </sheetPr>
  <dimension ref="A1:G72"/>
  <sheetViews>
    <sheetView showGridLines="0" topLeftCell="A37" zoomScale="90" zoomScaleNormal="90" workbookViewId="0">
      <selection activeCell="E10" sqref="E10"/>
    </sheetView>
  </sheetViews>
  <sheetFormatPr defaultColWidth="8.7109375" defaultRowHeight="15" x14ac:dyDescent="0.25"/>
  <cols>
    <col min="1" max="1" width="24" customWidth="1"/>
    <col min="2" max="2" width="20" customWidth="1"/>
    <col min="3" max="4" width="9" customWidth="1"/>
    <col min="5" max="5" width="14" customWidth="1"/>
    <col min="6" max="6" width="9" customWidth="1"/>
    <col min="7" max="7" width="30" customWidth="1"/>
  </cols>
  <sheetData>
    <row r="1" spans="1:7" ht="27.75" customHeight="1" x14ac:dyDescent="0.25">
      <c r="A1" s="3" t="s">
        <v>477</v>
      </c>
      <c r="B1" s="3"/>
      <c r="C1" s="3"/>
      <c r="D1" s="3"/>
      <c r="E1" s="3"/>
      <c r="F1" s="3"/>
      <c r="G1" s="3"/>
    </row>
    <row r="2" spans="1:7" ht="15.75" customHeight="1" x14ac:dyDescent="0.25">
      <c r="A2" s="2" t="s">
        <v>478</v>
      </c>
      <c r="B2" s="2"/>
      <c r="C2" s="2"/>
      <c r="D2" s="2"/>
      <c r="E2" s="2"/>
      <c r="F2" s="2"/>
      <c r="G2" s="2"/>
    </row>
    <row r="4" spans="1:7" ht="15.75" customHeight="1" x14ac:dyDescent="0.25">
      <c r="A4" s="11" t="s">
        <v>479</v>
      </c>
      <c r="B4" s="11"/>
      <c r="C4" s="11"/>
      <c r="D4" s="11"/>
      <c r="E4" s="11"/>
      <c r="F4" s="11"/>
      <c r="G4" s="11"/>
    </row>
    <row r="5" spans="1:7" ht="30" customHeight="1" x14ac:dyDescent="0.25">
      <c r="A5" s="65" t="s">
        <v>480</v>
      </c>
      <c r="B5" s="65" t="s">
        <v>350</v>
      </c>
      <c r="C5" s="65" t="s">
        <v>481</v>
      </c>
      <c r="D5" s="65" t="s">
        <v>482</v>
      </c>
      <c r="E5" s="65" t="s">
        <v>483</v>
      </c>
      <c r="F5" s="65" t="s">
        <v>484</v>
      </c>
      <c r="G5" s="65" t="s">
        <v>36</v>
      </c>
    </row>
    <row r="6" spans="1:7" ht="30" customHeight="1" x14ac:dyDescent="0.25">
      <c r="A6" s="19" t="s">
        <v>485</v>
      </c>
      <c r="B6" s="19" t="s">
        <v>486</v>
      </c>
      <c r="C6" s="22">
        <v>2</v>
      </c>
      <c r="D6" s="22" t="s">
        <v>275</v>
      </c>
      <c r="E6" s="22" t="s">
        <v>487</v>
      </c>
      <c r="F6" s="22" t="s">
        <v>488</v>
      </c>
      <c r="G6" s="19" t="s">
        <v>489</v>
      </c>
    </row>
    <row r="7" spans="1:7" ht="30" customHeight="1" x14ac:dyDescent="0.25">
      <c r="A7" s="19" t="s">
        <v>490</v>
      </c>
      <c r="B7" s="19" t="s">
        <v>486</v>
      </c>
      <c r="C7" s="22">
        <v>2</v>
      </c>
      <c r="D7" s="22" t="s">
        <v>275</v>
      </c>
      <c r="E7" s="22" t="s">
        <v>487</v>
      </c>
      <c r="F7" s="22" t="s">
        <v>488</v>
      </c>
      <c r="G7" s="19" t="s">
        <v>491</v>
      </c>
    </row>
    <row r="8" spans="1:7" ht="30" customHeight="1" x14ac:dyDescent="0.25">
      <c r="A8" s="19" t="s">
        <v>492</v>
      </c>
      <c r="B8" s="19" t="s">
        <v>486</v>
      </c>
      <c r="C8" s="22">
        <v>1</v>
      </c>
      <c r="D8" s="22" t="s">
        <v>275</v>
      </c>
      <c r="E8" s="22" t="s">
        <v>487</v>
      </c>
      <c r="F8" s="22" t="s">
        <v>488</v>
      </c>
      <c r="G8" s="19" t="s">
        <v>493</v>
      </c>
    </row>
    <row r="9" spans="1:7" ht="30" customHeight="1" x14ac:dyDescent="0.25">
      <c r="A9" s="19" t="s">
        <v>494</v>
      </c>
      <c r="B9" s="19" t="s">
        <v>495</v>
      </c>
      <c r="C9" s="22">
        <v>1</v>
      </c>
      <c r="D9" s="22" t="s">
        <v>275</v>
      </c>
      <c r="E9" s="22" t="s">
        <v>487</v>
      </c>
      <c r="F9" s="22" t="s">
        <v>488</v>
      </c>
      <c r="G9" s="19" t="s">
        <v>496</v>
      </c>
    </row>
    <row r="10" spans="1:7" ht="30" customHeight="1" x14ac:dyDescent="0.25">
      <c r="A10" s="19" t="s">
        <v>497</v>
      </c>
      <c r="B10" s="19" t="s">
        <v>495</v>
      </c>
      <c r="C10" s="22">
        <v>2</v>
      </c>
      <c r="D10" s="22" t="s">
        <v>275</v>
      </c>
      <c r="E10" s="22" t="s">
        <v>487</v>
      </c>
      <c r="F10" s="22" t="s">
        <v>488</v>
      </c>
      <c r="G10" s="19" t="s">
        <v>498</v>
      </c>
    </row>
    <row r="11" spans="1:7" ht="30" customHeight="1" x14ac:dyDescent="0.25">
      <c r="A11" s="19" t="s">
        <v>499</v>
      </c>
      <c r="B11" s="19" t="s">
        <v>495</v>
      </c>
      <c r="C11" s="22">
        <v>1</v>
      </c>
      <c r="D11" s="22" t="s">
        <v>275</v>
      </c>
      <c r="E11" s="22" t="s">
        <v>487</v>
      </c>
      <c r="F11" s="22" t="s">
        <v>500</v>
      </c>
      <c r="G11" s="19" t="s">
        <v>501</v>
      </c>
    </row>
    <row r="12" spans="1:7" ht="30" customHeight="1" x14ac:dyDescent="0.25">
      <c r="A12" s="19" t="s">
        <v>502</v>
      </c>
      <c r="B12" s="19" t="s">
        <v>503</v>
      </c>
      <c r="C12" s="22">
        <v>6</v>
      </c>
      <c r="D12" s="22" t="s">
        <v>275</v>
      </c>
      <c r="E12" s="22" t="s">
        <v>504</v>
      </c>
      <c r="F12" s="22" t="s">
        <v>500</v>
      </c>
      <c r="G12" s="19" t="s">
        <v>505</v>
      </c>
    </row>
    <row r="13" spans="1:7" ht="30" customHeight="1" x14ac:dyDescent="0.25">
      <c r="A13" s="19" t="s">
        <v>506</v>
      </c>
      <c r="B13" s="19" t="s">
        <v>503</v>
      </c>
      <c r="C13" s="22">
        <v>1</v>
      </c>
      <c r="D13" s="22" t="s">
        <v>275</v>
      </c>
      <c r="E13" s="22" t="s">
        <v>504</v>
      </c>
      <c r="F13" s="22" t="s">
        <v>488</v>
      </c>
      <c r="G13" s="19" t="s">
        <v>507</v>
      </c>
    </row>
    <row r="14" spans="1:7" ht="15" customHeight="1" x14ac:dyDescent="0.25">
      <c r="A14" s="19" t="s">
        <v>508</v>
      </c>
      <c r="B14" s="19" t="s">
        <v>503</v>
      </c>
      <c r="C14" s="22">
        <v>3</v>
      </c>
      <c r="D14" s="22" t="s">
        <v>275</v>
      </c>
      <c r="E14" s="22" t="s">
        <v>504</v>
      </c>
      <c r="F14" s="22" t="s">
        <v>500</v>
      </c>
      <c r="G14" s="19" t="s">
        <v>509</v>
      </c>
    </row>
    <row r="15" spans="1:7" ht="15" customHeight="1" x14ac:dyDescent="0.25">
      <c r="A15" s="19" t="s">
        <v>510</v>
      </c>
      <c r="B15" s="19" t="s">
        <v>503</v>
      </c>
      <c r="C15" s="22">
        <v>2</v>
      </c>
      <c r="D15" s="22" t="s">
        <v>275</v>
      </c>
      <c r="E15" s="22" t="s">
        <v>504</v>
      </c>
      <c r="F15" s="22" t="s">
        <v>511</v>
      </c>
      <c r="G15" s="19"/>
    </row>
    <row r="16" spans="1:7" ht="15" customHeight="1" x14ac:dyDescent="0.25">
      <c r="A16" s="19" t="s">
        <v>512</v>
      </c>
      <c r="B16" s="19" t="s">
        <v>503</v>
      </c>
      <c r="C16" s="22">
        <v>7</v>
      </c>
      <c r="D16" s="22" t="s">
        <v>275</v>
      </c>
      <c r="E16" s="22" t="s">
        <v>504</v>
      </c>
      <c r="F16" s="22" t="s">
        <v>488</v>
      </c>
      <c r="G16" s="19"/>
    </row>
    <row r="17" spans="1:7" ht="30" customHeight="1" x14ac:dyDescent="0.25">
      <c r="A17" s="19" t="s">
        <v>513</v>
      </c>
      <c r="B17" s="19" t="s">
        <v>514</v>
      </c>
      <c r="C17" s="22">
        <v>1</v>
      </c>
      <c r="D17" s="22" t="s">
        <v>275</v>
      </c>
      <c r="E17" s="22" t="s">
        <v>504</v>
      </c>
      <c r="F17" s="22" t="s">
        <v>488</v>
      </c>
      <c r="G17" s="19" t="s">
        <v>515</v>
      </c>
    </row>
    <row r="18" spans="1:7" ht="15" customHeight="1" x14ac:dyDescent="0.25">
      <c r="A18" s="19" t="s">
        <v>516</v>
      </c>
      <c r="B18" s="19" t="s">
        <v>514</v>
      </c>
      <c r="C18" s="22">
        <v>1</v>
      </c>
      <c r="D18" s="22" t="s">
        <v>275</v>
      </c>
      <c r="E18" s="22" t="s">
        <v>504</v>
      </c>
      <c r="F18" s="22" t="s">
        <v>511</v>
      </c>
      <c r="G18" s="19" t="s">
        <v>517</v>
      </c>
    </row>
    <row r="19" spans="1:7" ht="15" customHeight="1" x14ac:dyDescent="0.25">
      <c r="A19" s="19" t="s">
        <v>518</v>
      </c>
      <c r="B19" s="19" t="s">
        <v>519</v>
      </c>
      <c r="C19" s="22">
        <v>1</v>
      </c>
      <c r="D19" s="22" t="s">
        <v>275</v>
      </c>
      <c r="E19" s="22" t="s">
        <v>504</v>
      </c>
      <c r="F19" s="22" t="s">
        <v>500</v>
      </c>
      <c r="G19" s="19"/>
    </row>
    <row r="20" spans="1:7" ht="30" customHeight="1" x14ac:dyDescent="0.25">
      <c r="A20" s="19" t="s">
        <v>520</v>
      </c>
      <c r="B20" s="19" t="s">
        <v>519</v>
      </c>
      <c r="C20" s="22">
        <v>1</v>
      </c>
      <c r="D20" s="22" t="s">
        <v>275</v>
      </c>
      <c r="E20" s="22" t="s">
        <v>504</v>
      </c>
      <c r="F20" s="22" t="s">
        <v>500</v>
      </c>
      <c r="G20" s="19" t="s">
        <v>521</v>
      </c>
    </row>
    <row r="21" spans="1:7" ht="30" customHeight="1" x14ac:dyDescent="0.25">
      <c r="A21" s="19" t="s">
        <v>522</v>
      </c>
      <c r="B21" s="19" t="s">
        <v>519</v>
      </c>
      <c r="C21" s="22">
        <v>1</v>
      </c>
      <c r="D21" s="22" t="s">
        <v>275</v>
      </c>
      <c r="E21" s="22" t="s">
        <v>504</v>
      </c>
      <c r="F21" s="22" t="s">
        <v>511</v>
      </c>
      <c r="G21" s="19" t="s">
        <v>523</v>
      </c>
    </row>
    <row r="22" spans="1:7" ht="45" customHeight="1" x14ac:dyDescent="0.25">
      <c r="A22" s="19" t="s">
        <v>524</v>
      </c>
      <c r="B22" s="19" t="s">
        <v>519</v>
      </c>
      <c r="C22" s="22">
        <v>1</v>
      </c>
      <c r="D22" s="22" t="s">
        <v>275</v>
      </c>
      <c r="E22" s="22" t="s">
        <v>504</v>
      </c>
      <c r="F22" s="22" t="s">
        <v>500</v>
      </c>
      <c r="G22" s="19"/>
    </row>
    <row r="23" spans="1:7" ht="15" customHeight="1" x14ac:dyDescent="0.25">
      <c r="A23" s="19" t="s">
        <v>525</v>
      </c>
      <c r="B23" s="19" t="s">
        <v>526</v>
      </c>
      <c r="C23" s="22">
        <v>1</v>
      </c>
      <c r="D23" s="22" t="s">
        <v>275</v>
      </c>
      <c r="E23" s="22" t="s">
        <v>487</v>
      </c>
      <c r="F23" s="22" t="s">
        <v>488</v>
      </c>
      <c r="G23" s="19"/>
    </row>
    <row r="24" spans="1:7" ht="30" customHeight="1" x14ac:dyDescent="0.25">
      <c r="A24" s="19" t="s">
        <v>527</v>
      </c>
      <c r="B24" s="19" t="s">
        <v>526</v>
      </c>
      <c r="C24" s="22">
        <v>1</v>
      </c>
      <c r="D24" s="22" t="s">
        <v>275</v>
      </c>
      <c r="E24" s="22" t="s">
        <v>504</v>
      </c>
      <c r="F24" s="22" t="s">
        <v>500</v>
      </c>
      <c r="G24" s="19" t="s">
        <v>528</v>
      </c>
    </row>
    <row r="25" spans="1:7" ht="30" customHeight="1" x14ac:dyDescent="0.25">
      <c r="A25" s="19" t="s">
        <v>529</v>
      </c>
      <c r="B25" s="19" t="s">
        <v>526</v>
      </c>
      <c r="C25" s="22">
        <v>1</v>
      </c>
      <c r="D25" s="22" t="s">
        <v>275</v>
      </c>
      <c r="E25" s="22" t="s">
        <v>487</v>
      </c>
      <c r="F25" s="22" t="s">
        <v>511</v>
      </c>
      <c r="G25" s="19" t="s">
        <v>530</v>
      </c>
    </row>
    <row r="26" spans="1:7" ht="30" customHeight="1" x14ac:dyDescent="0.25">
      <c r="A26" s="19" t="s">
        <v>531</v>
      </c>
      <c r="B26" s="19" t="s">
        <v>532</v>
      </c>
      <c r="C26" s="22">
        <v>1</v>
      </c>
      <c r="D26" s="22" t="s">
        <v>275</v>
      </c>
      <c r="E26" s="22" t="s">
        <v>504</v>
      </c>
      <c r="F26" s="22" t="s">
        <v>488</v>
      </c>
      <c r="G26" s="19" t="s">
        <v>533</v>
      </c>
    </row>
    <row r="27" spans="1:7" ht="15" customHeight="1" x14ac:dyDescent="0.25">
      <c r="A27" s="19" t="s">
        <v>534</v>
      </c>
      <c r="B27" s="19" t="s">
        <v>532</v>
      </c>
      <c r="C27" s="22">
        <v>2</v>
      </c>
      <c r="D27" s="22" t="s">
        <v>275</v>
      </c>
      <c r="E27" s="22" t="s">
        <v>504</v>
      </c>
      <c r="F27" s="22" t="s">
        <v>500</v>
      </c>
      <c r="G27" s="19"/>
    </row>
    <row r="28" spans="1:7" ht="30" customHeight="1" x14ac:dyDescent="0.25">
      <c r="A28" s="19" t="s">
        <v>535</v>
      </c>
      <c r="B28" s="19" t="s">
        <v>532</v>
      </c>
      <c r="C28" s="22">
        <v>1</v>
      </c>
      <c r="D28" s="22" t="s">
        <v>275</v>
      </c>
      <c r="E28" s="22" t="s">
        <v>504</v>
      </c>
      <c r="F28" s="22" t="s">
        <v>511</v>
      </c>
      <c r="G28" s="19"/>
    </row>
    <row r="29" spans="1:7" ht="30" customHeight="1" x14ac:dyDescent="0.25">
      <c r="A29" s="19" t="s">
        <v>536</v>
      </c>
      <c r="B29" s="19" t="s">
        <v>537</v>
      </c>
      <c r="C29" s="22">
        <v>1</v>
      </c>
      <c r="D29" s="22" t="s">
        <v>275</v>
      </c>
      <c r="E29" s="22" t="s">
        <v>487</v>
      </c>
      <c r="F29" s="22" t="s">
        <v>488</v>
      </c>
      <c r="G29" s="19" t="s">
        <v>538</v>
      </c>
    </row>
    <row r="30" spans="1:7" ht="30" customHeight="1" x14ac:dyDescent="0.25">
      <c r="A30" s="19" t="s">
        <v>539</v>
      </c>
      <c r="B30" s="19" t="s">
        <v>537</v>
      </c>
      <c r="C30" s="22">
        <v>1</v>
      </c>
      <c r="D30" s="22" t="s">
        <v>275</v>
      </c>
      <c r="E30" s="22" t="s">
        <v>504</v>
      </c>
      <c r="F30" s="22" t="s">
        <v>500</v>
      </c>
      <c r="G30" s="19"/>
    </row>
    <row r="31" spans="1:7" ht="30" customHeight="1" x14ac:dyDescent="0.25">
      <c r="A31" s="19" t="s">
        <v>540</v>
      </c>
      <c r="B31" s="19" t="s">
        <v>537</v>
      </c>
      <c r="C31" s="22">
        <v>1</v>
      </c>
      <c r="D31" s="22" t="s">
        <v>275</v>
      </c>
      <c r="E31" s="22" t="s">
        <v>504</v>
      </c>
      <c r="F31" s="22" t="s">
        <v>511</v>
      </c>
      <c r="G31" s="19"/>
    </row>
    <row r="32" spans="1:7" ht="30" customHeight="1" x14ac:dyDescent="0.25">
      <c r="A32" s="19" t="s">
        <v>541</v>
      </c>
      <c r="B32" s="19" t="s">
        <v>542</v>
      </c>
      <c r="C32" s="22">
        <v>1</v>
      </c>
      <c r="D32" s="22" t="s">
        <v>275</v>
      </c>
      <c r="E32" s="22" t="s">
        <v>487</v>
      </c>
      <c r="F32" s="22" t="s">
        <v>488</v>
      </c>
      <c r="G32" s="19" t="s">
        <v>543</v>
      </c>
    </row>
    <row r="33" spans="1:7" ht="15" customHeight="1" x14ac:dyDescent="0.25">
      <c r="A33" s="19" t="s">
        <v>544</v>
      </c>
      <c r="B33" s="19" t="s">
        <v>542</v>
      </c>
      <c r="C33" s="22">
        <v>1</v>
      </c>
      <c r="D33" s="22" t="s">
        <v>275</v>
      </c>
      <c r="E33" s="22" t="s">
        <v>504</v>
      </c>
      <c r="F33" s="22" t="s">
        <v>500</v>
      </c>
      <c r="G33" s="19" t="s">
        <v>545</v>
      </c>
    </row>
    <row r="34" spans="1:7" ht="15" customHeight="1" x14ac:dyDescent="0.25">
      <c r="A34" s="19" t="s">
        <v>546</v>
      </c>
      <c r="B34" s="19" t="s">
        <v>547</v>
      </c>
      <c r="C34" s="22">
        <v>1</v>
      </c>
      <c r="D34" s="22" t="s">
        <v>275</v>
      </c>
      <c r="E34" s="22" t="s">
        <v>487</v>
      </c>
      <c r="F34" s="22" t="s">
        <v>488</v>
      </c>
      <c r="G34" s="19" t="s">
        <v>548</v>
      </c>
    </row>
    <row r="35" spans="1:7" ht="30" customHeight="1" x14ac:dyDescent="0.25">
      <c r="A35" s="19" t="s">
        <v>549</v>
      </c>
      <c r="B35" s="19" t="s">
        <v>547</v>
      </c>
      <c r="C35" s="22">
        <v>1</v>
      </c>
      <c r="D35" s="22" t="s">
        <v>275</v>
      </c>
      <c r="E35" s="22" t="s">
        <v>504</v>
      </c>
      <c r="F35" s="22" t="s">
        <v>500</v>
      </c>
      <c r="G35" s="19" t="s">
        <v>550</v>
      </c>
    </row>
    <row r="36" spans="1:7" ht="15" customHeight="1" x14ac:dyDescent="0.25">
      <c r="A36" s="19" t="s">
        <v>551</v>
      </c>
      <c r="B36" s="19" t="s">
        <v>547</v>
      </c>
      <c r="C36" s="22">
        <v>2</v>
      </c>
      <c r="D36" s="22" t="s">
        <v>275</v>
      </c>
      <c r="E36" s="22" t="s">
        <v>504</v>
      </c>
      <c r="F36" s="22" t="s">
        <v>511</v>
      </c>
      <c r="G36" s="19"/>
    </row>
    <row r="37" spans="1:7" ht="15" customHeight="1" x14ac:dyDescent="0.25">
      <c r="A37" s="19" t="s">
        <v>552</v>
      </c>
      <c r="B37" s="19" t="s">
        <v>553</v>
      </c>
      <c r="C37" s="22">
        <v>1</v>
      </c>
      <c r="D37" s="22" t="s">
        <v>275</v>
      </c>
      <c r="E37" s="22" t="s">
        <v>487</v>
      </c>
      <c r="F37" s="22" t="s">
        <v>511</v>
      </c>
      <c r="G37" s="19" t="s">
        <v>554</v>
      </c>
    </row>
    <row r="38" spans="1:7" ht="15" customHeight="1" x14ac:dyDescent="0.25">
      <c r="A38" s="19" t="s">
        <v>555</v>
      </c>
      <c r="B38" s="19" t="s">
        <v>553</v>
      </c>
      <c r="C38" s="22">
        <v>1</v>
      </c>
      <c r="D38" s="22" t="s">
        <v>275</v>
      </c>
      <c r="E38" s="22" t="s">
        <v>487</v>
      </c>
      <c r="F38" s="22" t="s">
        <v>511</v>
      </c>
      <c r="G38" s="19"/>
    </row>
    <row r="39" spans="1:7" ht="30" customHeight="1" x14ac:dyDescent="0.25">
      <c r="A39" s="19" t="s">
        <v>556</v>
      </c>
      <c r="B39" s="19" t="s">
        <v>553</v>
      </c>
      <c r="C39" s="22">
        <v>1</v>
      </c>
      <c r="D39" s="22" t="s">
        <v>275</v>
      </c>
      <c r="E39" s="22" t="s">
        <v>487</v>
      </c>
      <c r="F39" s="22" t="s">
        <v>500</v>
      </c>
      <c r="G39" s="19"/>
    </row>
    <row r="40" spans="1:7" ht="18" customHeight="1" x14ac:dyDescent="0.25">
      <c r="A40" s="86" t="s">
        <v>557</v>
      </c>
      <c r="B40" s="86"/>
      <c r="C40" s="86"/>
      <c r="D40" s="78">
        <f>COUNTIF(D6:D39,"Yes")/COUNTA(A6:A39)</f>
        <v>0</v>
      </c>
    </row>
    <row r="42" spans="1:7" ht="15.75" customHeight="1" x14ac:dyDescent="0.25">
      <c r="A42" s="11" t="s">
        <v>558</v>
      </c>
      <c r="B42" s="11"/>
      <c r="C42" s="11"/>
      <c r="D42" s="11"/>
      <c r="E42" s="11"/>
      <c r="F42" s="11"/>
      <c r="G42" s="11"/>
    </row>
    <row r="43" spans="1:7" ht="30" customHeight="1" x14ac:dyDescent="0.25">
      <c r="A43" s="65" t="s">
        <v>559</v>
      </c>
      <c r="B43" s="65" t="s">
        <v>264</v>
      </c>
      <c r="C43" s="65" t="s">
        <v>35</v>
      </c>
      <c r="D43" s="65" t="s">
        <v>484</v>
      </c>
      <c r="E43" s="65" t="s">
        <v>36</v>
      </c>
    </row>
    <row r="44" spans="1:7" ht="15" customHeight="1" x14ac:dyDescent="0.25">
      <c r="A44" s="87" t="s">
        <v>560</v>
      </c>
      <c r="B44" s="87"/>
      <c r="C44" s="87"/>
      <c r="D44" s="87"/>
      <c r="E44" s="87"/>
    </row>
    <row r="45" spans="1:7" ht="30" customHeight="1" x14ac:dyDescent="0.25">
      <c r="A45" s="19" t="s">
        <v>561</v>
      </c>
      <c r="B45" s="20">
        <f>Dashboard!$C$9-60</f>
        <v>46401</v>
      </c>
      <c r="C45" s="22" t="s">
        <v>67</v>
      </c>
      <c r="D45" s="22" t="s">
        <v>488</v>
      </c>
      <c r="E45" s="19" t="s">
        <v>562</v>
      </c>
    </row>
    <row r="46" spans="1:7" ht="45" customHeight="1" x14ac:dyDescent="0.25">
      <c r="A46" s="19" t="s">
        <v>563</v>
      </c>
      <c r="B46" s="20">
        <f>Dashboard!$C$9-60</f>
        <v>46401</v>
      </c>
      <c r="C46" s="22" t="s">
        <v>67</v>
      </c>
      <c r="D46" s="22" t="s">
        <v>488</v>
      </c>
      <c r="E46" s="19" t="s">
        <v>564</v>
      </c>
    </row>
    <row r="47" spans="1:7" ht="30" customHeight="1" x14ac:dyDescent="0.25">
      <c r="A47" s="19" t="s">
        <v>565</v>
      </c>
      <c r="B47" s="20">
        <f>Dashboard!$C$9-55</f>
        <v>46406</v>
      </c>
      <c r="C47" s="22" t="s">
        <v>67</v>
      </c>
      <c r="D47" s="22" t="s">
        <v>488</v>
      </c>
      <c r="E47" s="19"/>
    </row>
    <row r="48" spans="1:7" ht="30" customHeight="1" x14ac:dyDescent="0.25">
      <c r="A48" s="19" t="s">
        <v>566</v>
      </c>
      <c r="B48" s="20">
        <f>Dashboard!$C$9-50</f>
        <v>46411</v>
      </c>
      <c r="C48" s="22" t="s">
        <v>67</v>
      </c>
      <c r="D48" s="22" t="s">
        <v>488</v>
      </c>
      <c r="E48" s="19"/>
    </row>
    <row r="49" spans="1:5" ht="30" customHeight="1" x14ac:dyDescent="0.25">
      <c r="A49" s="19" t="s">
        <v>567</v>
      </c>
      <c r="B49" s="20">
        <f>Dashboard!$C$9-45</f>
        <v>46416</v>
      </c>
      <c r="C49" s="22" t="s">
        <v>67</v>
      </c>
      <c r="D49" s="22" t="s">
        <v>500</v>
      </c>
      <c r="E49" s="19"/>
    </row>
    <row r="50" spans="1:5" ht="30" customHeight="1" x14ac:dyDescent="0.25">
      <c r="A50" s="19" t="s">
        <v>568</v>
      </c>
      <c r="B50" s="20">
        <f>Dashboard!$C$9-40</f>
        <v>46421</v>
      </c>
      <c r="C50" s="22" t="s">
        <v>67</v>
      </c>
      <c r="D50" s="22" t="s">
        <v>500</v>
      </c>
      <c r="E50" s="19" t="s">
        <v>569</v>
      </c>
    </row>
    <row r="51" spans="1:5" ht="15" customHeight="1" x14ac:dyDescent="0.25">
      <c r="A51" s="87" t="s">
        <v>570</v>
      </c>
      <c r="B51" s="87"/>
      <c r="C51" s="87"/>
      <c r="D51" s="87"/>
      <c r="E51" s="87"/>
    </row>
    <row r="52" spans="1:5" ht="30" customHeight="1" x14ac:dyDescent="0.25">
      <c r="A52" s="19" t="s">
        <v>571</v>
      </c>
      <c r="B52" s="20">
        <f>Dashboard!$C$9-21</f>
        <v>46440</v>
      </c>
      <c r="C52" s="22" t="s">
        <v>67</v>
      </c>
      <c r="D52" s="22" t="s">
        <v>488</v>
      </c>
      <c r="E52" s="19" t="s">
        <v>572</v>
      </c>
    </row>
    <row r="53" spans="1:5" ht="60" customHeight="1" x14ac:dyDescent="0.25">
      <c r="A53" s="19" t="s">
        <v>573</v>
      </c>
      <c r="B53" s="20">
        <f>Dashboard!$C$9-18</f>
        <v>46443</v>
      </c>
      <c r="C53" s="22" t="s">
        <v>67</v>
      </c>
      <c r="D53" s="22" t="s">
        <v>488</v>
      </c>
      <c r="E53" s="19" t="s">
        <v>574</v>
      </c>
    </row>
    <row r="54" spans="1:5" ht="30" customHeight="1" x14ac:dyDescent="0.25">
      <c r="A54" s="19" t="s">
        <v>575</v>
      </c>
      <c r="B54" s="20">
        <f>Dashboard!$C$9-15</f>
        <v>46446</v>
      </c>
      <c r="C54" s="22" t="s">
        <v>67</v>
      </c>
      <c r="D54" s="22" t="s">
        <v>500</v>
      </c>
      <c r="E54" s="19"/>
    </row>
    <row r="55" spans="1:5" ht="30" customHeight="1" x14ac:dyDescent="0.25">
      <c r="A55" s="19" t="s">
        <v>576</v>
      </c>
      <c r="B55" s="20">
        <f>Dashboard!$C$9-12</f>
        <v>46449</v>
      </c>
      <c r="C55" s="22" t="s">
        <v>67</v>
      </c>
      <c r="D55" s="22" t="s">
        <v>500</v>
      </c>
      <c r="E55" s="19" t="s">
        <v>577</v>
      </c>
    </row>
    <row r="56" spans="1:5" ht="30" customHeight="1" x14ac:dyDescent="0.25">
      <c r="A56" s="19" t="s">
        <v>578</v>
      </c>
      <c r="B56" s="20">
        <f>Dashboard!$C$9-9</f>
        <v>46452</v>
      </c>
      <c r="C56" s="22" t="s">
        <v>67</v>
      </c>
      <c r="D56" s="22" t="s">
        <v>511</v>
      </c>
      <c r="E56" s="19" t="s">
        <v>579</v>
      </c>
    </row>
    <row r="57" spans="1:5" ht="15" customHeight="1" x14ac:dyDescent="0.25">
      <c r="A57" s="87" t="s">
        <v>580</v>
      </c>
      <c r="B57" s="87"/>
      <c r="C57" s="87"/>
      <c r="D57" s="87"/>
      <c r="E57" s="87"/>
    </row>
    <row r="58" spans="1:5" ht="30" customHeight="1" x14ac:dyDescent="0.25">
      <c r="A58" s="19" t="s">
        <v>581</v>
      </c>
      <c r="B58" s="20">
        <f>Dashboard!$C$9-7</f>
        <v>46454</v>
      </c>
      <c r="C58" s="22" t="s">
        <v>67</v>
      </c>
      <c r="D58" s="22" t="s">
        <v>500</v>
      </c>
      <c r="E58" s="19"/>
    </row>
    <row r="59" spans="1:5" ht="45" customHeight="1" x14ac:dyDescent="0.25">
      <c r="A59" s="19" t="s">
        <v>582</v>
      </c>
      <c r="B59" s="20">
        <f>Dashboard!$C$9-6</f>
        <v>46455</v>
      </c>
      <c r="C59" s="22" t="s">
        <v>67</v>
      </c>
      <c r="D59" s="22" t="s">
        <v>500</v>
      </c>
      <c r="E59" s="19" t="s">
        <v>583</v>
      </c>
    </row>
    <row r="60" spans="1:5" ht="45" customHeight="1" x14ac:dyDescent="0.25">
      <c r="A60" s="19" t="s">
        <v>584</v>
      </c>
      <c r="B60" s="20">
        <f>Dashboard!$C$9-5</f>
        <v>46456</v>
      </c>
      <c r="C60" s="22" t="s">
        <v>67</v>
      </c>
      <c r="D60" s="22" t="s">
        <v>488</v>
      </c>
      <c r="E60" s="19" t="s">
        <v>585</v>
      </c>
    </row>
    <row r="61" spans="1:5" ht="45" customHeight="1" x14ac:dyDescent="0.25">
      <c r="A61" s="19" t="s">
        <v>586</v>
      </c>
      <c r="B61" s="20">
        <f>Dashboard!$C$9-4</f>
        <v>46457</v>
      </c>
      <c r="C61" s="22" t="s">
        <v>67</v>
      </c>
      <c r="D61" s="22" t="s">
        <v>500</v>
      </c>
      <c r="E61" s="19" t="s">
        <v>587</v>
      </c>
    </row>
    <row r="62" spans="1:5" ht="30" customHeight="1" x14ac:dyDescent="0.25">
      <c r="A62" s="19" t="s">
        <v>588</v>
      </c>
      <c r="B62" s="20">
        <f>Dashboard!$C$9-3</f>
        <v>46458</v>
      </c>
      <c r="C62" s="22" t="s">
        <v>67</v>
      </c>
      <c r="D62" s="22" t="s">
        <v>488</v>
      </c>
      <c r="E62" s="19"/>
    </row>
    <row r="63" spans="1:5" ht="30" customHeight="1" x14ac:dyDescent="0.25">
      <c r="A63" s="19" t="s">
        <v>589</v>
      </c>
      <c r="B63" s="20">
        <f>Dashboard!$C$9-2</f>
        <v>46459</v>
      </c>
      <c r="C63" s="22" t="s">
        <v>67</v>
      </c>
      <c r="D63" s="22" t="s">
        <v>511</v>
      </c>
      <c r="E63" s="19"/>
    </row>
    <row r="64" spans="1:5" ht="15" customHeight="1" x14ac:dyDescent="0.25">
      <c r="A64" s="87" t="s">
        <v>590</v>
      </c>
      <c r="B64" s="87"/>
      <c r="C64" s="87"/>
      <c r="D64" s="87"/>
      <c r="E64" s="87"/>
    </row>
    <row r="65" spans="1:5" ht="30" customHeight="1" x14ac:dyDescent="0.25">
      <c r="A65" s="19" t="s">
        <v>591</v>
      </c>
      <c r="B65" s="20">
        <f>Dashboard!$C$9-1</f>
        <v>46460</v>
      </c>
      <c r="C65" s="22" t="s">
        <v>67</v>
      </c>
      <c r="D65" s="22" t="s">
        <v>488</v>
      </c>
      <c r="E65" s="19"/>
    </row>
    <row r="66" spans="1:5" ht="30" customHeight="1" x14ac:dyDescent="0.25">
      <c r="A66" s="19" t="s">
        <v>592</v>
      </c>
      <c r="B66" s="20">
        <f>Dashboard!$C$9-1</f>
        <v>46460</v>
      </c>
      <c r="C66" s="22" t="s">
        <v>67</v>
      </c>
      <c r="D66" s="22" t="s">
        <v>488</v>
      </c>
      <c r="E66" s="19"/>
    </row>
    <row r="67" spans="1:5" ht="30" customHeight="1" x14ac:dyDescent="0.25">
      <c r="A67" s="19" t="s">
        <v>593</v>
      </c>
      <c r="B67" s="20">
        <f>Dashboard!$C$9-1</f>
        <v>46460</v>
      </c>
      <c r="C67" s="22" t="s">
        <v>67</v>
      </c>
      <c r="D67" s="22" t="s">
        <v>500</v>
      </c>
      <c r="E67" s="19"/>
    </row>
    <row r="68" spans="1:5" ht="30" customHeight="1" x14ac:dyDescent="0.25">
      <c r="A68" s="19" t="s">
        <v>594</v>
      </c>
      <c r="B68" s="20">
        <f>Dashboard!$C$9-1</f>
        <v>46460</v>
      </c>
      <c r="C68" s="22" t="s">
        <v>67</v>
      </c>
      <c r="D68" s="22" t="s">
        <v>511</v>
      </c>
      <c r="E68" s="19"/>
    </row>
    <row r="69" spans="1:5" ht="30" customHeight="1" x14ac:dyDescent="0.25">
      <c r="A69" s="19" t="s">
        <v>595</v>
      </c>
      <c r="B69" s="20">
        <f>Dashboard!$C$9-1</f>
        <v>46460</v>
      </c>
      <c r="C69" s="22" t="s">
        <v>67</v>
      </c>
      <c r="D69" s="22" t="s">
        <v>488</v>
      </c>
      <c r="E69" s="19" t="s">
        <v>596</v>
      </c>
    </row>
    <row r="70" spans="1:5" ht="30" customHeight="1" x14ac:dyDescent="0.25">
      <c r="A70" s="19" t="s">
        <v>597</v>
      </c>
      <c r="B70" s="20">
        <f>Dashboard!$C$9-1</f>
        <v>46460</v>
      </c>
      <c r="C70" s="22" t="s">
        <v>67</v>
      </c>
      <c r="D70" s="22" t="s">
        <v>500</v>
      </c>
      <c r="E70" s="19"/>
    </row>
    <row r="72" spans="1:5" ht="18" customHeight="1" x14ac:dyDescent="0.25">
      <c r="A72" s="86" t="s">
        <v>598</v>
      </c>
      <c r="B72" s="86"/>
      <c r="C72" s="86"/>
      <c r="D72" s="78">
        <f>COUNTIF(C44:C70,"Done")/COUNTA(A44:A70)</f>
        <v>0</v>
      </c>
    </row>
  </sheetData>
  <autoFilter ref="A5:G39" xr:uid="{00000000-0009-0000-0000-000005000000}"/>
  <mergeCells count="10">
    <mergeCell ref="A44:E44"/>
    <mergeCell ref="A51:E51"/>
    <mergeCell ref="A57:E57"/>
    <mergeCell ref="A64:E64"/>
    <mergeCell ref="A72:C72"/>
    <mergeCell ref="A1:G1"/>
    <mergeCell ref="A2:G2"/>
    <mergeCell ref="A4:G4"/>
    <mergeCell ref="A40:C40"/>
    <mergeCell ref="A42:G42"/>
  </mergeCells>
  <conditionalFormatting sqref="A44:E70">
    <cfRule type="expression" dxfId="8" priority="8">
      <formula>AND($C44&lt;&gt;"Done",$B44&lt;&gt;"",$B44&lt;TODAY())</formula>
    </cfRule>
    <cfRule type="expression" dxfId="7" priority="9">
      <formula>AND($C44&lt;&gt;"Done",$B44&lt;&gt;"",$B44&gt;=TODAY(),$B44&lt;=TODAY()+14)</formula>
    </cfRule>
  </conditionalFormatting>
  <conditionalFormatting sqref="A6:G39">
    <cfRule type="expression" dxfId="6" priority="7">
      <formula>$D6="Yes"</formula>
    </cfRule>
  </conditionalFormatting>
  <conditionalFormatting sqref="C44:C70">
    <cfRule type="expression" dxfId="5" priority="4">
      <formula>OR(C44="Done",C44="Confirmed")</formula>
    </cfRule>
    <cfRule type="expression" dxfId="4" priority="5">
      <formula>OR(C44="In Progress",C44="Pending",C44="Not Started")</formula>
    </cfRule>
    <cfRule type="expression" dxfId="3" priority="6">
      <formula>OR(C44="Cancelled",C44="Urgent",C44="Overdue")</formula>
    </cfRule>
  </conditionalFormatting>
  <conditionalFormatting sqref="D6:D39">
    <cfRule type="expression" dxfId="2" priority="2">
      <formula>D6="Yes"</formula>
    </cfRule>
    <cfRule type="expression" dxfId="1" priority="3">
      <formula>D6="No"</formula>
    </cfRule>
  </conditionalFormatting>
  <dataValidations count="4">
    <dataValidation type="list" allowBlank="1" sqref="D6:D39" xr:uid="{00000000-0002-0000-0500-000000000000}">
      <formula1>"Yes,No"</formula1>
      <formula2>0</formula2>
    </dataValidation>
    <dataValidation type="list" allowBlank="1" sqref="E6:E39" xr:uid="{00000000-0002-0000-0500-000001000000}">
      <formula1>"Carry-on,Checked,Either"</formula1>
      <formula2>0</formula2>
    </dataValidation>
    <dataValidation type="list" allowBlank="1" sqref="F6:F39 D44:D70" xr:uid="{00000000-0002-0000-0500-000002000000}">
      <formula1>"High,Medium,Low"</formula1>
      <formula2>0</formula2>
    </dataValidation>
    <dataValidation type="list" allowBlank="1" sqref="C44:C70" xr:uid="{00000000-0002-0000-0500-000003000000}">
      <formula1>"Not Started,In Progress,Done,Confirmed,Cancelled"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7B29"/>
    <pageSetUpPr fitToPage="1"/>
  </sheetPr>
  <dimension ref="A1:K31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3" width="19.42578125" customWidth="1"/>
    <col min="4" max="4" width="12" customWidth="1"/>
    <col min="5" max="5" width="37.85546875" customWidth="1"/>
    <col min="6" max="6" width="11" customWidth="1"/>
    <col min="7" max="7" width="9" customWidth="1"/>
    <col min="8" max="8" width="30" customWidth="1"/>
    <col min="9" max="9" width="11" customWidth="1"/>
    <col min="10" max="10" width="10" customWidth="1"/>
    <col min="11" max="11" width="30" customWidth="1"/>
  </cols>
  <sheetData>
    <row r="1" spans="1:8" ht="27.75" customHeight="1" x14ac:dyDescent="0.25">
      <c r="A1" s="3" t="s">
        <v>599</v>
      </c>
      <c r="B1" s="3"/>
      <c r="C1" s="3"/>
      <c r="D1" s="3"/>
      <c r="E1" s="3"/>
      <c r="F1" s="3"/>
      <c r="G1" s="3"/>
      <c r="H1" s="3"/>
    </row>
    <row r="2" spans="1:8" ht="15.75" customHeight="1" x14ac:dyDescent="0.25">
      <c r="A2" s="2" t="s">
        <v>600</v>
      </c>
      <c r="B2" s="2"/>
      <c r="C2" s="2"/>
      <c r="D2" s="2"/>
      <c r="E2" s="2"/>
      <c r="F2" s="2"/>
      <c r="G2" s="2"/>
      <c r="H2" s="2"/>
    </row>
    <row r="4" spans="1:8" ht="15.75" customHeight="1" x14ac:dyDescent="0.25">
      <c r="A4" s="11" t="s">
        <v>601</v>
      </c>
      <c r="B4" s="11"/>
      <c r="C4" s="11"/>
      <c r="D4" s="11"/>
      <c r="E4" s="11"/>
      <c r="F4" s="11"/>
      <c r="G4" s="11"/>
      <c r="H4" s="11"/>
    </row>
    <row r="5" spans="1:8" ht="30" customHeight="1" x14ac:dyDescent="0.25">
      <c r="A5" s="17" t="s">
        <v>602</v>
      </c>
      <c r="B5" s="17" t="s">
        <v>603</v>
      </c>
      <c r="C5" s="17" t="s">
        <v>54</v>
      </c>
      <c r="D5" s="17" t="s">
        <v>604</v>
      </c>
      <c r="E5" s="17" t="s">
        <v>605</v>
      </c>
      <c r="F5" s="17" t="s">
        <v>55</v>
      </c>
      <c r="G5" s="17" t="s">
        <v>606</v>
      </c>
      <c r="H5" s="17" t="s">
        <v>36</v>
      </c>
    </row>
    <row r="6" spans="1:8" ht="25.5" customHeight="1" x14ac:dyDescent="0.25">
      <c r="A6" s="18" t="s">
        <v>607</v>
      </c>
      <c r="B6" s="19" t="s">
        <v>608</v>
      </c>
      <c r="C6" s="22" t="s">
        <v>609</v>
      </c>
      <c r="D6" s="79">
        <v>180</v>
      </c>
      <c r="E6" s="19" t="s">
        <v>610</v>
      </c>
      <c r="F6" s="22" t="s">
        <v>66</v>
      </c>
      <c r="G6" s="22" t="s">
        <v>273</v>
      </c>
      <c r="H6" s="19" t="s">
        <v>611</v>
      </c>
    </row>
    <row r="7" spans="1:8" ht="25.5" customHeight="1" x14ac:dyDescent="0.25">
      <c r="A7" s="18" t="s">
        <v>612</v>
      </c>
      <c r="B7" s="19" t="s">
        <v>613</v>
      </c>
      <c r="C7" s="22" t="s">
        <v>609</v>
      </c>
      <c r="D7" s="79">
        <v>400</v>
      </c>
      <c r="E7" s="19" t="s">
        <v>614</v>
      </c>
      <c r="F7" s="22" t="s">
        <v>149</v>
      </c>
      <c r="G7" s="22" t="s">
        <v>273</v>
      </c>
      <c r="H7" s="19" t="s">
        <v>615</v>
      </c>
    </row>
    <row r="8" spans="1:8" ht="25.5" customHeight="1" x14ac:dyDescent="0.25">
      <c r="A8" s="18" t="s">
        <v>616</v>
      </c>
      <c r="B8" s="19" t="s">
        <v>617</v>
      </c>
      <c r="C8" s="22" t="s">
        <v>618</v>
      </c>
      <c r="D8" s="79">
        <v>60</v>
      </c>
      <c r="E8" s="19" t="s">
        <v>619</v>
      </c>
      <c r="F8" s="22" t="s">
        <v>66</v>
      </c>
      <c r="G8" s="22" t="s">
        <v>273</v>
      </c>
      <c r="H8" s="19" t="s">
        <v>620</v>
      </c>
    </row>
    <row r="9" spans="1:8" ht="25.5" customHeight="1" x14ac:dyDescent="0.25">
      <c r="A9" s="18" t="s">
        <v>621</v>
      </c>
      <c r="B9" s="19" t="s">
        <v>622</v>
      </c>
      <c r="C9" s="22" t="s">
        <v>609</v>
      </c>
      <c r="D9" s="79">
        <v>90</v>
      </c>
      <c r="E9" s="19" t="s">
        <v>623</v>
      </c>
      <c r="F9" s="22" t="s">
        <v>66</v>
      </c>
      <c r="G9" s="22" t="s">
        <v>273</v>
      </c>
      <c r="H9" s="19" t="s">
        <v>624</v>
      </c>
    </row>
    <row r="10" spans="1:8" ht="25.5" customHeight="1" x14ac:dyDescent="0.25">
      <c r="A10" s="18" t="s">
        <v>625</v>
      </c>
      <c r="B10" s="19" t="s">
        <v>626</v>
      </c>
      <c r="C10" s="22" t="s">
        <v>618</v>
      </c>
      <c r="D10" s="79">
        <v>80</v>
      </c>
      <c r="E10" s="19" t="s">
        <v>619</v>
      </c>
      <c r="F10" s="22" t="s">
        <v>66</v>
      </c>
      <c r="G10" s="22" t="s">
        <v>273</v>
      </c>
      <c r="H10" s="19" t="s">
        <v>627</v>
      </c>
    </row>
    <row r="11" spans="1:8" ht="25.5" customHeight="1" x14ac:dyDescent="0.25">
      <c r="A11" s="18" t="s">
        <v>628</v>
      </c>
      <c r="B11" s="19" t="s">
        <v>629</v>
      </c>
      <c r="C11" s="22" t="s">
        <v>618</v>
      </c>
      <c r="D11" s="79">
        <v>50</v>
      </c>
      <c r="E11" s="19" t="s">
        <v>619</v>
      </c>
      <c r="F11" s="22" t="s">
        <v>66</v>
      </c>
      <c r="G11" s="22" t="s">
        <v>273</v>
      </c>
      <c r="H11" s="19" t="s">
        <v>630</v>
      </c>
    </row>
    <row r="12" spans="1:8" ht="25.5" customHeight="1" x14ac:dyDescent="0.25">
      <c r="A12" s="18" t="s">
        <v>631</v>
      </c>
      <c r="B12" s="19" t="s">
        <v>632</v>
      </c>
      <c r="C12" s="22" t="s">
        <v>633</v>
      </c>
      <c r="D12" s="79">
        <v>90</v>
      </c>
      <c r="E12" s="19" t="s">
        <v>619</v>
      </c>
      <c r="F12" s="22" t="s">
        <v>66</v>
      </c>
      <c r="G12" s="22" t="s">
        <v>273</v>
      </c>
      <c r="H12" s="19" t="s">
        <v>634</v>
      </c>
    </row>
    <row r="13" spans="1:8" ht="25.5" customHeight="1" x14ac:dyDescent="0.25">
      <c r="A13" s="18" t="s">
        <v>635</v>
      </c>
      <c r="B13" s="19" t="s">
        <v>622</v>
      </c>
      <c r="C13" s="22" t="s">
        <v>618</v>
      </c>
      <c r="D13" s="79">
        <v>60</v>
      </c>
      <c r="E13" s="19" t="s">
        <v>636</v>
      </c>
      <c r="F13" s="22" t="s">
        <v>66</v>
      </c>
      <c r="G13" s="22" t="s">
        <v>273</v>
      </c>
      <c r="H13" s="19" t="s">
        <v>637</v>
      </c>
    </row>
    <row r="14" spans="1:8" ht="25.5" customHeight="1" x14ac:dyDescent="0.25">
      <c r="A14" s="18" t="s">
        <v>638</v>
      </c>
      <c r="B14" s="19" t="s">
        <v>639</v>
      </c>
      <c r="C14" s="22" t="s">
        <v>640</v>
      </c>
      <c r="D14" s="79">
        <v>250</v>
      </c>
      <c r="E14" s="19" t="s">
        <v>641</v>
      </c>
      <c r="F14" s="22" t="s">
        <v>66</v>
      </c>
      <c r="G14" s="22" t="s">
        <v>273</v>
      </c>
      <c r="H14" s="19" t="s">
        <v>642</v>
      </c>
    </row>
    <row r="15" spans="1:8" ht="25.5" customHeight="1" x14ac:dyDescent="0.25">
      <c r="A15" s="18" t="s">
        <v>643</v>
      </c>
      <c r="B15" s="19" t="s">
        <v>644</v>
      </c>
      <c r="C15" s="22" t="s">
        <v>71</v>
      </c>
      <c r="D15" s="79">
        <v>400</v>
      </c>
      <c r="E15" s="19" t="s">
        <v>645</v>
      </c>
      <c r="F15" s="22" t="s">
        <v>66</v>
      </c>
      <c r="G15" s="22" t="s">
        <v>273</v>
      </c>
      <c r="H15" s="19" t="s">
        <v>646</v>
      </c>
    </row>
    <row r="17" spans="1:11" ht="15.75" customHeight="1" x14ac:dyDescent="0.25">
      <c r="A17" s="11" t="s">
        <v>647</v>
      </c>
      <c r="B17" s="11"/>
      <c r="C17" s="11"/>
      <c r="D17" s="11"/>
      <c r="E17" s="11"/>
      <c r="F17" s="11"/>
      <c r="G17" s="11"/>
      <c r="H17" s="11"/>
    </row>
    <row r="18" spans="1:11" ht="30" customHeight="1" x14ac:dyDescent="0.25">
      <c r="A18" s="17" t="s">
        <v>46</v>
      </c>
      <c r="B18" s="17" t="s">
        <v>603</v>
      </c>
      <c r="C18" s="17" t="s">
        <v>648</v>
      </c>
      <c r="D18" s="17" t="s">
        <v>649</v>
      </c>
      <c r="E18" s="17" t="s">
        <v>605</v>
      </c>
      <c r="F18" s="17" t="s">
        <v>650</v>
      </c>
      <c r="G18" s="17" t="s">
        <v>651</v>
      </c>
      <c r="H18" s="17" t="s">
        <v>652</v>
      </c>
      <c r="I18" s="17" t="s">
        <v>484</v>
      </c>
      <c r="J18" s="17" t="s">
        <v>653</v>
      </c>
      <c r="K18" s="17" t="s">
        <v>36</v>
      </c>
    </row>
    <row r="19" spans="1:11" ht="25.5" customHeight="1" x14ac:dyDescent="0.25">
      <c r="A19" s="18" t="s">
        <v>145</v>
      </c>
      <c r="B19" s="19" t="s">
        <v>146</v>
      </c>
      <c r="C19" s="22" t="s">
        <v>654</v>
      </c>
      <c r="D19" s="22" t="s">
        <v>655</v>
      </c>
      <c r="E19" s="19" t="s">
        <v>656</v>
      </c>
      <c r="F19" s="19" t="s">
        <v>657</v>
      </c>
      <c r="G19" s="19" t="s">
        <v>658</v>
      </c>
      <c r="H19" s="19" t="s">
        <v>659</v>
      </c>
      <c r="I19" s="80" t="s">
        <v>488</v>
      </c>
      <c r="J19" s="80" t="s">
        <v>275</v>
      </c>
      <c r="K19" s="81" t="s">
        <v>660</v>
      </c>
    </row>
    <row r="20" spans="1:11" ht="25.5" customHeight="1" x14ac:dyDescent="0.25">
      <c r="A20" s="18" t="s">
        <v>661</v>
      </c>
      <c r="B20" s="19" t="s">
        <v>108</v>
      </c>
      <c r="C20" s="22" t="s">
        <v>654</v>
      </c>
      <c r="D20" s="22" t="s">
        <v>662</v>
      </c>
      <c r="E20" s="19" t="s">
        <v>663</v>
      </c>
      <c r="F20" s="19" t="s">
        <v>664</v>
      </c>
      <c r="G20" s="19" t="s">
        <v>665</v>
      </c>
      <c r="H20" s="19" t="s">
        <v>666</v>
      </c>
      <c r="I20" s="80" t="s">
        <v>488</v>
      </c>
      <c r="J20" s="80" t="s">
        <v>275</v>
      </c>
      <c r="K20" s="81" t="s">
        <v>667</v>
      </c>
    </row>
    <row r="21" spans="1:11" ht="25.5" customHeight="1" x14ac:dyDescent="0.25">
      <c r="A21" s="18" t="s">
        <v>122</v>
      </c>
      <c r="B21" s="19" t="s">
        <v>123</v>
      </c>
      <c r="C21" s="22" t="s">
        <v>654</v>
      </c>
      <c r="D21" s="22" t="s">
        <v>668</v>
      </c>
      <c r="E21" s="19" t="s">
        <v>669</v>
      </c>
      <c r="F21" s="19" t="s">
        <v>670</v>
      </c>
      <c r="G21" s="19" t="s">
        <v>671</v>
      </c>
      <c r="H21" s="19" t="s">
        <v>672</v>
      </c>
      <c r="I21" s="80" t="s">
        <v>488</v>
      </c>
      <c r="J21" s="80" t="s">
        <v>275</v>
      </c>
      <c r="K21" s="81" t="s">
        <v>673</v>
      </c>
    </row>
    <row r="22" spans="1:11" ht="25.5" customHeight="1" x14ac:dyDescent="0.25">
      <c r="A22" s="18" t="s">
        <v>107</v>
      </c>
      <c r="B22" s="19" t="s">
        <v>108</v>
      </c>
      <c r="C22" s="22" t="s">
        <v>654</v>
      </c>
      <c r="D22" s="22" t="s">
        <v>94</v>
      </c>
      <c r="E22" s="19" t="s">
        <v>674</v>
      </c>
      <c r="F22" s="19" t="s">
        <v>670</v>
      </c>
      <c r="G22" s="19" t="s">
        <v>675</v>
      </c>
      <c r="H22" s="19" t="s">
        <v>107</v>
      </c>
      <c r="I22" s="80" t="s">
        <v>488</v>
      </c>
      <c r="J22" s="80" t="s">
        <v>275</v>
      </c>
      <c r="K22" s="81" t="s">
        <v>676</v>
      </c>
    </row>
    <row r="23" spans="1:11" ht="25.5" customHeight="1" x14ac:dyDescent="0.25">
      <c r="A23" s="18" t="s">
        <v>677</v>
      </c>
      <c r="B23" s="19" t="s">
        <v>678</v>
      </c>
      <c r="C23" s="22" t="s">
        <v>149</v>
      </c>
      <c r="D23" s="22" t="s">
        <v>679</v>
      </c>
      <c r="E23" s="19" t="s">
        <v>680</v>
      </c>
      <c r="F23" s="19" t="s">
        <v>664</v>
      </c>
      <c r="G23" s="19" t="s">
        <v>681</v>
      </c>
      <c r="H23" s="19" t="s">
        <v>682</v>
      </c>
      <c r="I23" s="80" t="s">
        <v>500</v>
      </c>
      <c r="J23" s="80" t="s">
        <v>275</v>
      </c>
      <c r="K23" s="81" t="s">
        <v>683</v>
      </c>
    </row>
    <row r="24" spans="1:11" ht="25.5" customHeight="1" x14ac:dyDescent="0.25">
      <c r="A24" s="18" t="s">
        <v>200</v>
      </c>
      <c r="B24" s="19" t="s">
        <v>177</v>
      </c>
      <c r="C24" s="22" t="s">
        <v>654</v>
      </c>
      <c r="D24" s="22" t="s">
        <v>684</v>
      </c>
      <c r="E24" s="19" t="s">
        <v>685</v>
      </c>
      <c r="F24" s="19" t="s">
        <v>686</v>
      </c>
      <c r="G24" s="19" t="s">
        <v>665</v>
      </c>
      <c r="H24" s="19" t="s">
        <v>687</v>
      </c>
      <c r="I24" s="80" t="s">
        <v>488</v>
      </c>
      <c r="J24" s="80" t="s">
        <v>275</v>
      </c>
      <c r="K24" s="81" t="s">
        <v>688</v>
      </c>
    </row>
    <row r="25" spans="1:11" ht="25.5" customHeight="1" x14ac:dyDescent="0.25">
      <c r="A25" s="18" t="s">
        <v>167</v>
      </c>
      <c r="B25" s="19" t="s">
        <v>168</v>
      </c>
      <c r="C25" s="22" t="s">
        <v>149</v>
      </c>
      <c r="D25" s="22" t="s">
        <v>668</v>
      </c>
      <c r="E25" s="19" t="s">
        <v>689</v>
      </c>
      <c r="F25" s="19" t="s">
        <v>686</v>
      </c>
      <c r="G25" s="19" t="s">
        <v>665</v>
      </c>
      <c r="H25" s="19" t="s">
        <v>168</v>
      </c>
      <c r="I25" s="80" t="s">
        <v>500</v>
      </c>
      <c r="J25" s="80" t="s">
        <v>275</v>
      </c>
      <c r="K25" s="81" t="s">
        <v>690</v>
      </c>
    </row>
    <row r="26" spans="1:11" ht="25.5" customHeight="1" x14ac:dyDescent="0.25">
      <c r="A26" s="18" t="s">
        <v>176</v>
      </c>
      <c r="B26" s="19" t="s">
        <v>177</v>
      </c>
      <c r="C26" s="22" t="s">
        <v>654</v>
      </c>
      <c r="D26" s="22" t="s">
        <v>691</v>
      </c>
      <c r="E26" s="19" t="s">
        <v>692</v>
      </c>
      <c r="F26" s="19" t="s">
        <v>693</v>
      </c>
      <c r="G26" s="19" t="s">
        <v>681</v>
      </c>
      <c r="H26" s="19" t="s">
        <v>694</v>
      </c>
      <c r="I26" s="80" t="s">
        <v>488</v>
      </c>
      <c r="J26" s="80" t="s">
        <v>275</v>
      </c>
      <c r="K26" s="81" t="s">
        <v>695</v>
      </c>
    </row>
    <row r="27" spans="1:11" ht="25.5" customHeight="1" x14ac:dyDescent="0.25">
      <c r="A27" s="18" t="s">
        <v>195</v>
      </c>
      <c r="B27" s="19" t="s">
        <v>189</v>
      </c>
      <c r="C27" s="22" t="s">
        <v>149</v>
      </c>
      <c r="D27" s="22" t="s">
        <v>662</v>
      </c>
      <c r="E27" s="19" t="s">
        <v>696</v>
      </c>
      <c r="F27" s="19" t="s">
        <v>697</v>
      </c>
      <c r="G27" s="19" t="s">
        <v>698</v>
      </c>
      <c r="H27" s="19" t="s">
        <v>699</v>
      </c>
      <c r="I27" s="80" t="s">
        <v>500</v>
      </c>
      <c r="J27" s="80" t="s">
        <v>275</v>
      </c>
      <c r="K27" s="81" t="s">
        <v>700</v>
      </c>
    </row>
    <row r="28" spans="1:11" ht="25.5" customHeight="1" x14ac:dyDescent="0.25">
      <c r="A28" s="18" t="s">
        <v>161</v>
      </c>
      <c r="B28" s="19" t="s">
        <v>146</v>
      </c>
      <c r="C28" s="22" t="s">
        <v>701</v>
      </c>
      <c r="D28" s="22" t="s">
        <v>668</v>
      </c>
      <c r="E28" s="19" t="s">
        <v>702</v>
      </c>
      <c r="F28" s="19" t="s">
        <v>670</v>
      </c>
      <c r="G28" s="19" t="s">
        <v>703</v>
      </c>
      <c r="H28" s="19" t="s">
        <v>704</v>
      </c>
      <c r="I28" s="80" t="s">
        <v>500</v>
      </c>
      <c r="J28" s="80" t="s">
        <v>275</v>
      </c>
      <c r="K28" s="81" t="s">
        <v>705</v>
      </c>
    </row>
    <row r="29" spans="1:11" ht="25.5" customHeight="1" x14ac:dyDescent="0.25">
      <c r="A29" s="18" t="s">
        <v>706</v>
      </c>
      <c r="B29" s="19" t="s">
        <v>707</v>
      </c>
      <c r="C29" s="22" t="s">
        <v>708</v>
      </c>
      <c r="D29" s="22" t="s">
        <v>679</v>
      </c>
      <c r="E29" s="19" t="s">
        <v>709</v>
      </c>
      <c r="F29" s="19" t="s">
        <v>710</v>
      </c>
      <c r="G29" s="19" t="s">
        <v>698</v>
      </c>
      <c r="H29" s="19" t="s">
        <v>711</v>
      </c>
      <c r="I29" s="80" t="s">
        <v>511</v>
      </c>
      <c r="J29" s="80" t="s">
        <v>275</v>
      </c>
      <c r="K29" s="81" t="s">
        <v>712</v>
      </c>
    </row>
    <row r="30" spans="1:11" ht="25.5" customHeight="1" x14ac:dyDescent="0.25">
      <c r="A30" s="18" t="s">
        <v>230</v>
      </c>
      <c r="B30" s="19" t="s">
        <v>713</v>
      </c>
      <c r="C30" s="22" t="s">
        <v>149</v>
      </c>
      <c r="D30" s="22" t="s">
        <v>662</v>
      </c>
      <c r="E30" s="19" t="s">
        <v>636</v>
      </c>
      <c r="F30" s="19" t="s">
        <v>664</v>
      </c>
      <c r="G30" s="19" t="s">
        <v>714</v>
      </c>
      <c r="H30" s="19" t="s">
        <v>715</v>
      </c>
      <c r="I30" s="80" t="s">
        <v>500</v>
      </c>
      <c r="J30" s="80" t="s">
        <v>275</v>
      </c>
      <c r="K30" s="81" t="s">
        <v>716</v>
      </c>
    </row>
    <row r="31" spans="1:11" ht="25.5" customHeight="1" x14ac:dyDescent="0.25">
      <c r="A31" s="18" t="s">
        <v>717</v>
      </c>
      <c r="B31" s="19" t="s">
        <v>713</v>
      </c>
      <c r="C31" s="22" t="s">
        <v>149</v>
      </c>
      <c r="D31" s="22" t="s">
        <v>662</v>
      </c>
      <c r="E31" s="19" t="s">
        <v>718</v>
      </c>
      <c r="F31" s="19" t="s">
        <v>719</v>
      </c>
      <c r="G31" s="19" t="s">
        <v>720</v>
      </c>
      <c r="H31" s="19" t="s">
        <v>721</v>
      </c>
      <c r="I31" s="80" t="s">
        <v>500</v>
      </c>
      <c r="J31" s="80" t="s">
        <v>275</v>
      </c>
      <c r="K31" s="81" t="s">
        <v>722</v>
      </c>
    </row>
  </sheetData>
  <autoFilter ref="A18:K31" xr:uid="{00000000-0009-0000-0000-000006000000}"/>
  <mergeCells count="4">
    <mergeCell ref="A1:H1"/>
    <mergeCell ref="A2:H2"/>
    <mergeCell ref="A4:H4"/>
    <mergeCell ref="A17:H17"/>
  </mergeCells>
  <conditionalFormatting sqref="A19:K31">
    <cfRule type="expression" dxfId="0" priority="2">
      <formula>$J19="Yes"</formula>
    </cfRule>
  </conditionalFormatting>
  <dataValidations count="3">
    <dataValidation type="list" allowBlank="1" sqref="F6:F15" xr:uid="{00000000-0002-0000-0600-000000000000}">
      <formula1>"Required,Not Required,Recommended"</formula1>
      <formula2>0</formula2>
    </dataValidation>
    <dataValidation type="list" allowBlank="1" sqref="G6:G15 J19:J31" xr:uid="{00000000-0002-0000-0600-000001000000}">
      <formula1>"Yes,No"</formula1>
      <formula2>0</formula2>
    </dataValidation>
    <dataValidation type="list" allowBlank="1" sqref="I19:I31" xr:uid="{00000000-0002-0000-0600-000002000000}">
      <formula1>"High,Medium,Low"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Dashboard</vt:lpstr>
      <vt:lpstr>Master Itinerary</vt:lpstr>
      <vt:lpstr>Travel Documents</vt:lpstr>
      <vt:lpstr>Budget Tracker</vt:lpstr>
      <vt:lpstr>Bookings</vt:lpstr>
      <vt:lpstr>Packing &amp; Pre-Trip</vt:lpstr>
      <vt:lpstr>Food &amp; Places</vt:lpstr>
      <vt:lpstr>FXRate</vt:lpstr>
      <vt:lpstr>TripBudget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Kim Domingo</cp:lastModifiedBy>
  <cp:revision>0</cp:revision>
  <dcterms:created xsi:type="dcterms:W3CDTF">2026-08-20T07:04:01Z</dcterms:created>
  <dcterms:modified xsi:type="dcterms:W3CDTF">2026-08-20T07:45:28Z</dcterms:modified>
  <dc:language>en-US</dc:language>
</cp:coreProperties>
</file>